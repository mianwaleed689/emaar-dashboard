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AD\Downloads\"/>
    </mc:Choice>
  </mc:AlternateContent>
  <xr:revisionPtr revIDLastSave="0" documentId="13_ncr:1_{47F9291D-6DE2-4B3A-BE7D-21B4A0A402F0}" xr6:coauthVersionLast="47" xr6:coauthVersionMax="47" xr10:uidLastSave="{00000000-0000-0000-0000-000000000000}"/>
  <bookViews>
    <workbookView xWindow="-108" yWindow="-108" windowWidth="23256" windowHeight="13896" tabRatio="500" firstSheet="4" activeTab="6" xr2:uid="{00000000-000D-0000-FFFF-FFFF00000000}"/>
  </bookViews>
  <sheets>
    <sheet name="Analytics Dashboard" sheetId="1" r:id="rId1"/>
    <sheet name="Corrections Log" sheetId="2" r:id="rId2"/>
    <sheet name="Executive Dashboard" sheetId="3" r:id="rId3"/>
    <sheet name="Off-Plan Projects 2026-2030" sheetId="4" r:id="rId4"/>
    <sheet name="Location Analysis" sheetId="5" r:id="rId5"/>
    <sheet name="Rental &amp; Tenant Analysis" sheetId="6" r:id="rId6"/>
    <sheet name="Investment Analysis" sheetId="7" r:id="rId7"/>
    <sheet name="Risk Assessment" sheetId="8" r:id="rId8"/>
    <sheet name="Market Positioning" sheetId="9" r:id="rId9"/>
    <sheet name="Dubai Market 2025" sheetId="10" r:id="rId10"/>
    <sheet name="Emaar Mega Projects" sheetId="11" r:id="rId11"/>
    <sheet name="Consultant Pitch" sheetId="12" r:id="rId12"/>
    <sheet name="Sources &amp; Methodology" sheetId="13" r:id="rId13"/>
  </sheets>
  <definedNames>
    <definedName name="_xlnm._FilterDatabase" localSheetId="8" hidden="1">'Market Positioning'!$A$4:$K$34</definedName>
    <definedName name="_xlnm._FilterDatabase" localSheetId="3" hidden="1">'Off-Plan Projects 2026-2030'!$A$4:$R$52</definedName>
    <definedName name="CommunityList">'Off-Plan Projects 2026-2030'!$C$5:$C$52</definedName>
    <definedName name="DeveloperRankings">'Market Positioning'!$A$5:$K$34</definedName>
    <definedName name="PricePerSqft">'Off-Plan Projects 2026-2030'!$L$5:$L$52</definedName>
    <definedName name="_xlnm.Print_Titles" localSheetId="8">'Market Positioning'!$1:$4</definedName>
    <definedName name="_xlnm.Print_Titles" localSheetId="3">'Off-Plan Projects 2026-2030'!$1:$4</definedName>
    <definedName name="_xlnm.Print_Titles" localSheetId="5">'Rental &amp; Tenant Analysis'!$1:$5</definedName>
    <definedName name="ProjectList">'Off-Plan Projects 2026-2030'!$B$5:$B$52</definedName>
    <definedName name="RiskMatrix">'Risk Assessment'!$A$7:$F$15</definedName>
    <definedName name="YieldData">'Rental &amp; Tenant Analysis'!$A$6:$E$21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" i="9" l="1"/>
  <c r="G36" i="9"/>
  <c r="E36" i="9"/>
  <c r="C36" i="9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</calcChain>
</file>

<file path=xl/sharedStrings.xml><?xml version="1.0" encoding="utf-8"?>
<sst xmlns="http://schemas.openxmlformats.org/spreadsheetml/2006/main" count="1805" uniqueCount="1003">
  <si>
    <t>CONSULTANT SALES POSITIONING — EMAAR PROPERTIES</t>
  </si>
  <si>
    <t>Competition talking points — ready-to-use advisor narrative</t>
  </si>
  <si>
    <t>30-SECOND ELEVATOR PITCH</t>
  </si>
  <si>
    <t>"Emaar Properties is the #1 developer in Dubai by every metric — AED 80.4B in sales, 79,000+ units delivered, investment-grade rated by all three agencies, and home to Burj Khalifa and Dubai Mall. With 14 master communities, 3 branded residence brands (Address, Vida, Palace), and AED 155B in revenue backlog, Emaar offers the lowest-risk, highest-confidence investment in Dubai real estate. Period."</t>
  </si>
  <si>
    <t>TALKING POINTS BY INVESTOR TYPE</t>
  </si>
  <si>
    <t>Investor Type</t>
  </si>
  <si>
    <t>Key Message</t>
  </si>
  <si>
    <t>Supporting Data</t>
  </si>
  <si>
    <t>Recommended Projects</t>
  </si>
  <si>
    <t>Institutional / Family Office</t>
  </si>
  <si>
    <t>Investment-grade developer with AED 155B backlog and 10.5B recurring revenue</t>
  </si>
  <si>
    <t>BBB+ S&amp;P, Baa1 Moody's, BBB Fitch • 100% dividend (AED 8.9B) • Listed on DFM • 23-year track record</t>
  </si>
  <si>
    <t>Portfolio: DHE + Creek Harbour + Beachfront mix</t>
  </si>
  <si>
    <t>Yield-Seeking Investor</t>
  </si>
  <si>
    <t>6-8% yields in Emaar South, 5-7% in Dubai Hills — backed by master community infrastructure</t>
  </si>
  <si>
    <t>Emaar South Golf Verge from AED 1.2M = ~6.5% yield • DHE Hills Park from AED 1.21M = ~6.2% yield</t>
  </si>
  <si>
    <t>Golf Verge (ES), Hills Park (DHE), Creek Waters (DCH)</t>
  </si>
  <si>
    <t>Capital Appreciation Buyer</t>
  </si>
  <si>
    <t>Branded residences (Address, Vida, Palace) deliver 20-30% premiums at handover</t>
  </si>
  <si>
    <t>Palace Hillside from AED 1.76M • Vida Hillside from AED 1.8M • Baystar by Vida from AED 2.1M</t>
  </si>
  <si>
    <t>Palace Residences Hillside (DHE), Lyvia by Palace (DCH), Address The Bay (EBF)</t>
  </si>
  <si>
    <t>Ultra-HNW / Trophy Asset</t>
  </si>
  <si>
    <t>Grand Polo Club (AED 41B), The Oasis mansions, and Emaar Beachfront penthouses</t>
  </si>
  <si>
    <t>Selvara villas from AED 5.67M • Marèva 2 from AED 13.83M • Farm Gardens from AED 7.3M</t>
  </si>
  <si>
    <t>Grand Polo Club Selvara, The Oasis Marèva 2, Farm Gardens (Valley)</t>
  </si>
  <si>
    <t>Golden Visa Seeker</t>
  </si>
  <si>
    <t>AED 2M+ qualifies for 10-year Golden Visa across most Emaar communities</t>
  </si>
  <si>
    <t>Golf Hillside from AED 2.82M • Parkside Views from AED 2.76M • Creek Waters from AED 1.94M</t>
  </si>
  <si>
    <t>Golf Hillside (DHE), Parkside Views (DHE), Oria (DCH)</t>
  </si>
  <si>
    <t>First-Time Dubai Buyer</t>
  </si>
  <si>
    <t>Emaar = safest entry into Dubai real estate. Lowest counterparty risk, strongest brand.</t>
  </si>
  <si>
    <t>Hills Park from AED 1.21M • Golf Verge from AED 1.2M • Elora TH from AED 1.6M • 80/20 payment plans</t>
  </si>
  <si>
    <t>Hills Park (DHE), Golf Verge (ES), Elora (Valley)</t>
  </si>
  <si>
    <t>OBJECTION HANDLING</t>
  </si>
  <si>
    <t>Objection</t>
  </si>
  <si>
    <t>Response</t>
  </si>
  <si>
    <t>Data to Support</t>
  </si>
  <si>
    <t>Confidence</t>
  </si>
  <si>
    <t>"Emaar is too expensive — I can get cheaper with Object 1 or Binghatti"</t>
  </si>
  <si>
    <t>You're comparing different asset classes. Emaar offers master communities with malls, schools, golf courses. The premium is structural — it persists in resale and appreciation.</t>
  </si>
  <si>
    <t>Emaar price/sqft AED 1,800-3,500 vs Object 1 AED 1,400-2,000. But Emaar resale premium is 15-30% higher.</t>
  </si>
  <si>
    <t>HIGH</t>
  </si>
  <si>
    <t>"The market is overheated — should I wait?"</t>
  </si>
  <si>
    <t>Emaar's AED 155B backlog means they're operating on 3+ years of guaranteed revenue. Off-plan entry gives you construction-phase appreciation before handover.</t>
  </si>
  <si>
    <t>Dubai hit AED 682.5B in 2025 (+30.6%). 5-year forecast: 15-25% appreciation. Population growing to 5.8M.</t>
  </si>
  <si>
    <t>"I want rental yield, not just capital appreciation"</t>
  </si>
  <si>
    <t>Emaar South delivers 6-8% yields — competitive with any developer. Plus Emaar's master community model ensures sustained tenant demand from infrastructure.</t>
  </si>
  <si>
    <t>Golf Verge at AED 1.2M yields ~6.5%. DHE 1BR yields ~5-6%. Branded adds 10-15% rental premium.</t>
  </si>
  <si>
    <t>"Why not buy secondary market instead of off-plan?"</t>
  </si>
  <si>
    <t>Off-plan with Emaar gives you 80/20 payment leverage, 10-20% below completion prices, and the specific unit you want in a sold-out community.</t>
  </si>
  <si>
    <t>Emaar off-plan historically appreciates 15-25% from launch to handover.</t>
  </si>
  <si>
    <t>"Emaar has too many projects — is there oversupply risk?"</t>
  </si>
  <si>
    <t>Emaar creates demand through communities, not just buildings. Dubai Hills Mall, Dubai Mall, golf courses — these drive 98% occupancy. Scale is Emaar's moat, not its risk.</t>
  </si>
  <si>
    <t>Dubai Mall 98% occupancy. 47,200 units under dev across 14+ communities. AED 155B backlog.</t>
  </si>
  <si>
    <t>EMAAR PROPERTIES — ANALYTICS DASHBOARD</t>
  </si>
  <si>
    <t>Visual Summary | All data from workbook sheets | Charts auto-linked to source data</t>
  </si>
  <si>
    <t>KEY PERFORMANCE INDICATORS — 2025</t>
  </si>
  <si>
    <t>Property Sales</t>
  </si>
  <si>
    <t>Revenue</t>
  </si>
  <si>
    <t>Net Profit</t>
  </si>
  <si>
    <t>Backlog</t>
  </si>
  <si>
    <t>Units Delivered</t>
  </si>
  <si>
    <t>Under Dev.</t>
  </si>
  <si>
    <t>Land Bank</t>
  </si>
  <si>
    <t>Communities</t>
  </si>
  <si>
    <t>AED 80.4B</t>
  </si>
  <si>
    <t>AED 49.6B</t>
  </si>
  <si>
    <t>AED 25.7B</t>
  </si>
  <si>
    <t>AED 155B</t>
  </si>
  <si>
    <t>79,000+</t>
  </si>
  <si>
    <t>47,200+</t>
  </si>
  <si>
    <t>618M sqft</t>
  </si>
  <si>
    <t>14+</t>
  </si>
  <si>
    <t>+16% YoY</t>
  </si>
  <si>
    <t>+40% YoY</t>
  </si>
  <si>
    <t>+36% YoY</t>
  </si>
  <si>
    <t>+39% YoY</t>
  </si>
  <si>
    <t>Since 2002</t>
  </si>
  <si>
    <t>Pipeline</t>
  </si>
  <si>
    <t>344M UAE</t>
  </si>
  <si>
    <t>Largest in Dubai</t>
  </si>
  <si>
    <t>TOP 10 DEVELOPERS BY SALES — 2025 (AED Billions)</t>
  </si>
  <si>
    <t>Developer</t>
  </si>
  <si>
    <t>Sales (AED B)</t>
  </si>
  <si>
    <t>Emaar Properties</t>
  </si>
  <si>
    <t>DAMAC Properties</t>
  </si>
  <si>
    <t>Binghatti</t>
  </si>
  <si>
    <t>Nakheel</t>
  </si>
  <si>
    <t>Sobha Realty</t>
  </si>
  <si>
    <t>Meraas</t>
  </si>
  <si>
    <t>Omniyat</t>
  </si>
  <si>
    <t>Aldar</t>
  </si>
  <si>
    <t>H&amp;H Dev</t>
  </si>
  <si>
    <t>Danube</t>
  </si>
  <si>
    <t>HANDOVER TIMELINE 2026–2029</t>
  </si>
  <si>
    <t>Year</t>
  </si>
  <si>
    <t>Standard</t>
  </si>
  <si>
    <t>Branded</t>
  </si>
  <si>
    <t>Total</t>
  </si>
  <si>
    <t>2026</t>
  </si>
  <si>
    <t>2027</t>
  </si>
  <si>
    <t>2028</t>
  </si>
  <si>
    <t>2029</t>
  </si>
  <si>
    <t>RENTAL YIELD BY COMMUNITY</t>
  </si>
  <si>
    <t>Community</t>
  </si>
  <si>
    <t>Avg Yield %</t>
  </si>
  <si>
    <t>Entry Price</t>
  </si>
  <si>
    <t>Yield Range</t>
  </si>
  <si>
    <t>Emaar South</t>
  </si>
  <si>
    <t>AED 1.2M</t>
  </si>
  <si>
    <t>6.0–8.0%</t>
  </si>
  <si>
    <t>The Valley</t>
  </si>
  <si>
    <t>AED 1.6M</t>
  </si>
  <si>
    <t>5.5–7.0%</t>
  </si>
  <si>
    <t>Dubai Hills Estate</t>
  </si>
  <si>
    <t>5.0–7.0%</t>
  </si>
  <si>
    <t>Dubai Creek Harbour</t>
  </si>
  <si>
    <t>AED 1.67M</t>
  </si>
  <si>
    <t>5.0–6.5%</t>
  </si>
  <si>
    <t>Rashid Yachts &amp; Marina</t>
  </si>
  <si>
    <t>AED 2.1M</t>
  </si>
  <si>
    <t>Downtown/Business Bay</t>
  </si>
  <si>
    <t>AED 2.5M</t>
  </si>
  <si>
    <t>4.5–6.0%</t>
  </si>
  <si>
    <t>Emaar Beachfront</t>
  </si>
  <si>
    <t>AED 3.0M</t>
  </si>
  <si>
    <t>4.0–5.5%</t>
  </si>
  <si>
    <t>The Oasis</t>
  </si>
  <si>
    <t>AED 13.8M</t>
  </si>
  <si>
    <t>3.0–4.5%</t>
  </si>
  <si>
    <t>PORTFOLIO BY INVESTMENT TIER</t>
  </si>
  <si>
    <t>Investment Tier</t>
  </si>
  <si>
    <t>Count</t>
  </si>
  <si>
    <t>Mid-Premium</t>
  </si>
  <si>
    <t>Premium</t>
  </si>
  <si>
    <t>Ultra-Luxury</t>
  </si>
  <si>
    <t>Ultra-Luxury Branded</t>
  </si>
  <si>
    <t>Luxury Branded</t>
  </si>
  <si>
    <t>Luxury</t>
  </si>
  <si>
    <t>Mid-Market</t>
  </si>
  <si>
    <t>Affordable</t>
  </si>
  <si>
    <t>AVG PRICE/SQFT BY COMMUNITY (AED)</t>
  </si>
  <si>
    <t>Avg AED/sqft</t>
  </si>
  <si>
    <t>Grand Polo Club</t>
  </si>
  <si>
    <t>MARKET CONTEXT: Dubai 2025 total sales AED 682.5B (+30.6%) | 214,912 transactions (+18.8%) | Emaar market share ~12% | 5-year forecast: 15-25% appreciation</t>
  </si>
  <si>
    <t>EMAAR PROPERTIES — DATA CORRECTIONS LOG (March 2026)</t>
  </si>
  <si>
    <t>All 48 off-plan projects fully verified via Emaar IR, Property Finder, Bayut, and official Emaar portals | Yellow = corrected cell in main sheet</t>
  </si>
  <si>
    <t>ID</t>
  </si>
  <si>
    <t>Project Name</t>
  </si>
  <si>
    <t>Field Corrected</t>
  </si>
  <si>
    <t>Old Value (Excel)</t>
  </si>
  <si>
    <t>New Value (Verified)</t>
  </si>
  <si>
    <t>Source</t>
  </si>
  <si>
    <t>Golf Hillside</t>
  </si>
  <si>
    <t>Payment Plan</t>
  </si>
  <si>
    <t>80/20</t>
  </si>
  <si>
    <t>10/70/20</t>
  </si>
  <si>
    <t>Property Finder</t>
  </si>
  <si>
    <t>High</t>
  </si>
  <si>
    <t>Greencrest</t>
  </si>
  <si>
    <t>Starting Price</t>
  </si>
  <si>
    <t>Missing</t>
  </si>
  <si>
    <t>AED 1,570,000</t>
  </si>
  <si>
    <t>Emaar / Provident Est.</t>
  </si>
  <si>
    <t>Handover</t>
  </si>
  <si>
    <t>Q1 2029</t>
  </si>
  <si>
    <t>Q2 2029</t>
  </si>
  <si>
    <t>Emaar Official</t>
  </si>
  <si>
    <t>Medium</t>
  </si>
  <si>
    <t>Rosehill</t>
  </si>
  <si>
    <t>AED 1,600,888</t>
  </si>
  <si>
    <t>Emaar / APIL Properties</t>
  </si>
  <si>
    <t>Albero</t>
  </si>
  <si>
    <t>Q4 2028</t>
  </si>
  <si>
    <t>Q3 2029</t>
  </si>
  <si>
    <t>Property Finder / Christie's</t>
  </si>
  <si>
    <t>Very High</t>
  </si>
  <si>
    <t>Montiva by Vida</t>
  </si>
  <si>
    <t>AED 1,910,000</t>
  </si>
  <si>
    <t>Emaar / Property Finder</t>
  </si>
  <si>
    <t>Silva</t>
  </si>
  <si>
    <t>AED 1,790,000</t>
  </si>
  <si>
    <t>Creek Bay</t>
  </si>
  <si>
    <t>AED 1,800,000</t>
  </si>
  <si>
    <t>Q4 2029</t>
  </si>
  <si>
    <t>Q2 2030</t>
  </si>
  <si>
    <t>Multiple portals</t>
  </si>
  <si>
    <t>Creek Haven</t>
  </si>
  <si>
    <t>AED 1,860,000</t>
  </si>
  <si>
    <t>Q1 2030</t>
  </si>
  <si>
    <t>Lyvia by Palace</t>
  </si>
  <si>
    <t>AED 2,684,888</t>
  </si>
  <si>
    <t>Altan</t>
  </si>
  <si>
    <t>AED 1,813,888</t>
  </si>
  <si>
    <t>Golf Meadow</t>
  </si>
  <si>
    <t>AED 3,045,888</t>
  </si>
  <si>
    <t>AED 1,120,000</t>
  </si>
  <si>
    <t>Emaar South Official</t>
  </si>
  <si>
    <t>Terra Gardens</t>
  </si>
  <si>
    <t>AED 1,550,000</t>
  </si>
  <si>
    <t>Farm Gardens</t>
  </si>
  <si>
    <t>AED 7,300,000</t>
  </si>
  <si>
    <t>AED 5,100,000</t>
  </si>
  <si>
    <t>Property Finder / Bayut</t>
  </si>
  <si>
    <t>Chevalia Estate 2</t>
  </si>
  <si>
    <t>AED 7,880,000</t>
  </si>
  <si>
    <t>Selvara 3</t>
  </si>
  <si>
    <t>AED 6,200,000</t>
  </si>
  <si>
    <t>APIL Properties</t>
  </si>
  <si>
    <t>Selvara 4</t>
  </si>
  <si>
    <t>Aurea</t>
  </si>
  <si>
    <t>AED 2,100,000</t>
  </si>
  <si>
    <t>AED 2,310,000</t>
  </si>
  <si>
    <t>Mina Rashid Official</t>
  </si>
  <si>
    <t>Marèva 2</t>
  </si>
  <si>
    <t>Property Finder / Binayah</t>
  </si>
  <si>
    <t>Avarra by Palace</t>
  </si>
  <si>
    <t>AED 2,700,000</t>
  </si>
  <si>
    <t>Q2 2031</t>
  </si>
  <si>
    <t>10/80/10</t>
  </si>
  <si>
    <t>SUMMARY</t>
  </si>
  <si>
    <t>Total corrections applied: 29</t>
  </si>
  <si>
    <t>Projects with missing prices filled: 13</t>
  </si>
  <si>
    <t>Wrong prices corrected: 4</t>
  </si>
  <si>
    <t>Handover dates corrected: 9</t>
  </si>
  <si>
    <t>Payment plans corrected: 5</t>
  </si>
  <si>
    <t>Source: Full web research conducted March 7, 2026 — Emaar IR, Property Finder, Bayut, official portals</t>
  </si>
  <si>
    <t>EMAAR PROPERTIES — EXECUTIVE DEVELOPER DASHBOARD</t>
  </si>
  <si>
    <t>Competition-Grade Developer Profile | Sources: Emaar IR, DLD, Gulf News, Property Finder | Feb 2026</t>
  </si>
  <si>
    <t>COMPANY PROFILE</t>
  </si>
  <si>
    <t>Metric</t>
  </si>
  <si>
    <t>Detail</t>
  </si>
  <si>
    <t>Full Legal Name</t>
  </si>
  <si>
    <t>Emaar Properties PJSC</t>
  </si>
  <si>
    <t>Stock Listing</t>
  </si>
  <si>
    <t>DFM: EMAAR / DFM: EMAARDEV (subsidiary)</t>
  </si>
  <si>
    <t>Founded</t>
  </si>
  <si>
    <t>1997 — Dubai, UAE</t>
  </si>
  <si>
    <t>Founder &amp; Chairman</t>
  </si>
  <si>
    <t>Mohamed Alabbar</t>
  </si>
  <si>
    <t>Headquarters</t>
  </si>
  <si>
    <t>Downtown Dubai, UAE</t>
  </si>
  <si>
    <t>Market Cap</t>
  </si>
  <si>
    <t>AED 70+ Billion (~USD 19B)</t>
  </si>
  <si>
    <t>DLD Ranking 2025</t>
  </si>
  <si>
    <t>#1 Developer in Dubai by Sales Value</t>
  </si>
  <si>
    <t>2025 Property Sales</t>
  </si>
  <si>
    <t>AED 80.4 Billion (+16% YoY) — Highest Ever</t>
  </si>
  <si>
    <t>2025 Revenue</t>
  </si>
  <si>
    <t>AED 49.6 Billion (+40% YoY) — Highest Ever</t>
  </si>
  <si>
    <t>2025 Net Profit (pre-tax)</t>
  </si>
  <si>
    <t>AED 25.7 Billion (+36% YoY) — Highest Ever</t>
  </si>
  <si>
    <t>2025 EBITDA</t>
  </si>
  <si>
    <t>AED 25.6 Billion (+33% YoY)</t>
  </si>
  <si>
    <t>Revenue Backlog</t>
  </si>
  <si>
    <t>AED 155 Billion (+39% YoY) as of Dec 2025</t>
  </si>
  <si>
    <t>Units Delivered (since 2002)</t>
  </si>
  <si>
    <t>~79,000+ Residential Units</t>
  </si>
  <si>
    <t>Units Under Development</t>
  </si>
  <si>
    <t>47,200+ Units</t>
  </si>
  <si>
    <t>~618 Million sq.ft total (~344M sq.ft UAE)</t>
  </si>
  <si>
    <t>New Projects Launched (2025)</t>
  </si>
  <si>
    <t>48 New Residential Projects</t>
  </si>
  <si>
    <t>Master Communities</t>
  </si>
  <si>
    <t>14+ (Downtown, Hills, Creek, South, Valley, Oasis, Marina, etc.)</t>
  </si>
  <si>
    <t>International Operations</t>
  </si>
  <si>
    <t>Egypt, India, Pakistan, Turkey, Saudi Arabia, Morocco</t>
  </si>
  <si>
    <t>Intl Property Sales 2025</t>
  </si>
  <si>
    <t>AED 9.3 Billion (+124% YoY)</t>
  </si>
  <si>
    <t>Mall Revenue 2025</t>
  </si>
  <si>
    <t>AED 6.3 Billion (+13% YoY), 98% Occupancy</t>
  </si>
  <si>
    <t>Hospitality Revenue 2025</t>
  </si>
  <si>
    <t>AED 4.2 Billion (+12% YoY)</t>
  </si>
  <si>
    <t>Recurring Revenue 2025</t>
  </si>
  <si>
    <t>AED 10.5 Billion (+13% YoY)</t>
  </si>
  <si>
    <t>Credit Ratings</t>
  </si>
  <si>
    <t>BBB (Fitch) / Baa1 (Moody's) / BBB+ (S&amp;P)</t>
  </si>
  <si>
    <t>Dividend 2025</t>
  </si>
  <si>
    <t>100% of share capital — AED 8.9 Billion</t>
  </si>
  <si>
    <t>Iconic Assets</t>
  </si>
  <si>
    <t>Burj Khalifa, Dubai Mall, Dubai Fountain, Downtown Dubai</t>
  </si>
  <si>
    <t>Primary Product Types</t>
  </si>
  <si>
    <t>Apartments, Villas, Townhouses, Mansions, Penthouses</t>
  </si>
  <si>
    <t>Branded Residences</t>
  </si>
  <si>
    <t>Address, Vida, Palace by Emaar</t>
  </si>
  <si>
    <t>Key USP</t>
  </si>
  <si>
    <t>Scale, master-planned communities, brand trust, delivery track record</t>
  </si>
  <si>
    <t>KEY PERFORMANCE INDICATORS vs MARKET</t>
  </si>
  <si>
    <t>KPI</t>
  </si>
  <si>
    <t>Emaar Value</t>
  </si>
  <si>
    <t>Industry Benchmark</t>
  </si>
  <si>
    <t>Rating</t>
  </si>
  <si>
    <t>Competitive Position</t>
  </si>
  <si>
    <t>Annual Sales Volume</t>
  </si>
  <si>
    <t>#2 DAMAC AED 35.9B</t>
  </si>
  <si>
    <t>LEADER</t>
  </si>
  <si>
    <t>2.2x larger than nearest competitor</t>
  </si>
  <si>
    <t>Top 5 avg ~AED 30B</t>
  </si>
  <si>
    <t>5x industry average — unmatched pipeline visibility</t>
  </si>
  <si>
    <t>Top 5 avg ~15,000</t>
  </si>
  <si>
    <t>Largest delivery track record in UAE</t>
  </si>
  <si>
    <t>Net Profit Margin</t>
  </si>
  <si>
    <t>52% (pre-tax)</t>
  </si>
  <si>
    <t>Industry avg 25-35%</t>
  </si>
  <si>
    <t>ABOVE AVG</t>
  </si>
  <si>
    <t>Premium margins from scale + recurring revenue</t>
  </si>
  <si>
    <t>Top 5 avg 3-5</t>
  </si>
  <si>
    <t>Most diversified community portfolio in Dubai</t>
  </si>
  <si>
    <t>3 brands (Address, Vida, Palace)</t>
  </si>
  <si>
    <t>Most have 0-1</t>
  </si>
  <si>
    <t>Hospitality-grade living driving premiums</t>
  </si>
  <si>
    <t>International Presence</t>
  </si>
  <si>
    <t>6 countries (Egypt, India, etc.)</t>
  </si>
  <si>
    <t>Most UAE-only</t>
  </si>
  <si>
    <t>Diversified revenue, reduced geographic risk</t>
  </si>
  <si>
    <t>Credit Rating</t>
  </si>
  <si>
    <t>BBB+ (S&amp;P) / Baa1 (Moody's)</t>
  </si>
  <si>
    <t>Most unrated</t>
  </si>
  <si>
    <t>Investment grade — institutional confidence</t>
  </si>
  <si>
    <t>Recurring Revenue</t>
  </si>
  <si>
    <t>AED 10.5B (malls, hotels, leasing)</t>
  </si>
  <si>
    <t>Most have &lt;AED 1B</t>
  </si>
  <si>
    <t>Unique shield against market cyclicality</t>
  </si>
  <si>
    <t>Payment Plans</t>
  </si>
  <si>
    <t>80/20, 70/30, 90/10 options</t>
  </si>
  <si>
    <t>Industry standard 50/50-70/30</t>
  </si>
  <si>
    <t>COMPETITIVE</t>
  </si>
  <si>
    <t>Flexible but less aggressive than smaller developers</t>
  </si>
  <si>
    <t>EMAAR PROPERTIES — OFF-PLAN PROJECT PORTFOLIO 2026–2030</t>
  </si>
  <si>
    <t>Verified from Emaar IR, Property Finder, Bayut | Handovers Q2 2026 – Q2 2030</t>
  </si>
  <si>
    <t>Total Projects: 40+</t>
  </si>
  <si>
    <t>2026 Handovers:</t>
  </si>
  <si>
    <t>8+</t>
  </si>
  <si>
    <t>2027 Handovers:</t>
  </si>
  <si>
    <t>10+</t>
  </si>
  <si>
    <t>2028 Handovers:</t>
  </si>
  <si>
    <t>2029 Handovers:</t>
  </si>
  <si>
    <t>12+</t>
  </si>
  <si>
    <t>#</t>
  </si>
  <si>
    <t>District</t>
  </si>
  <si>
    <t>Unit Types</t>
  </si>
  <si>
    <t>Beds</t>
  </si>
  <si>
    <t>Status</t>
  </si>
  <si>
    <t>Starting Price (AED)</t>
  </si>
  <si>
    <t>Size From (sqft)</t>
  </si>
  <si>
    <t>Size To (sqft)</t>
  </si>
  <si>
    <t>Price/sqft (est.)</t>
  </si>
  <si>
    <t>Construction %</t>
  </si>
  <si>
    <t>Verification</t>
  </si>
  <si>
    <t>The Golf Residence</t>
  </si>
  <si>
    <t>DHE</t>
  </si>
  <si>
    <t>Apartments</t>
  </si>
  <si>
    <t>1-3</t>
  </si>
  <si>
    <t>Under Construction</t>
  </si>
  <si>
    <t>Q2 2026</t>
  </si>
  <si>
    <t>20/30/50</t>
  </si>
  <si>
    <t>80%</t>
  </si>
  <si>
    <t>No</t>
  </si>
  <si>
    <t>Portal Verified</t>
  </si>
  <si>
    <t>Hills Park</t>
  </si>
  <si>
    <t>75%</t>
  </si>
  <si>
    <t>Bayut</t>
  </si>
  <si>
    <t>Golf Grand</t>
  </si>
  <si>
    <t>Q1 2027</t>
  </si>
  <si>
    <t>96%</t>
  </si>
  <si>
    <t>Parkside Views</t>
  </si>
  <si>
    <t>Apartments &amp; TH</t>
  </si>
  <si>
    <t>Q3 2027</t>
  </si>
  <si>
    <t>74%</t>
  </si>
  <si>
    <t>Greenside Residence</t>
  </si>
  <si>
    <t>61%</t>
  </si>
  <si>
    <t>Club Drive</t>
  </si>
  <si>
    <t>Q1 2028</t>
  </si>
  <si>
    <t>10/90</t>
  </si>
  <si>
    <t>55%</t>
  </si>
  <si>
    <t>37%</t>
  </si>
  <si>
    <t>Park Lane</t>
  </si>
  <si>
    <t>33%</t>
  </si>
  <si>
    <t>Palace Residences Hillside</t>
  </si>
  <si>
    <t>Q2 2028</t>
  </si>
  <si>
    <t>17%</t>
  </si>
  <si>
    <t>Palace</t>
  </si>
  <si>
    <t>Off-Plan</t>
  </si>
  <si>
    <t>10%</t>
  </si>
  <si>
    <t>Verified</t>
  </si>
  <si>
    <t>Vida Residences Hillside</t>
  </si>
  <si>
    <t>8%</t>
  </si>
  <si>
    <t>Vida</t>
  </si>
  <si>
    <t>Parkwood</t>
  </si>
  <si>
    <t>5%</t>
  </si>
  <si>
    <t>Hillsedge</t>
  </si>
  <si>
    <t>Club Place</t>
  </si>
  <si>
    <t>Apartments &amp; Duplex</t>
  </si>
  <si>
    <t>Provident</t>
  </si>
  <si>
    <t>Parkland</t>
  </si>
  <si>
    <t>The Cove II</t>
  </si>
  <si>
    <t>DCH</t>
  </si>
  <si>
    <t>1-4</t>
  </si>
  <si>
    <t>Q4 2026</t>
  </si>
  <si>
    <t>87%</t>
  </si>
  <si>
    <t>Creek Waters</t>
  </si>
  <si>
    <t>62%</t>
  </si>
  <si>
    <t>Creek Waters 2</t>
  </si>
  <si>
    <t>Q4 2027</t>
  </si>
  <si>
    <t>63%</t>
  </si>
  <si>
    <t>Oria</t>
  </si>
  <si>
    <t>Q3 2028</t>
  </si>
  <si>
    <t>49%</t>
  </si>
  <si>
    <t>Ghaderi Realty</t>
  </si>
  <si>
    <t>3%</t>
  </si>
  <si>
    <t>New</t>
  </si>
  <si>
    <t>Address The Bay</t>
  </si>
  <si>
    <t>EBF</t>
  </si>
  <si>
    <t>Apartments &amp; PH</t>
  </si>
  <si>
    <t>70%</t>
  </si>
  <si>
    <t>Address</t>
  </si>
  <si>
    <t>off-planproperties.ae</t>
  </si>
  <si>
    <t>Beachgate by Address</t>
  </si>
  <si>
    <t>Apartments, TH, PH</t>
  </si>
  <si>
    <t>Seapoint</t>
  </si>
  <si>
    <t>Apartments &amp; Podium Villas</t>
  </si>
  <si>
    <t>45%</t>
  </si>
  <si>
    <t>Bayview</t>
  </si>
  <si>
    <t>40%</t>
  </si>
  <si>
    <t>Bristol Luxury Residences</t>
  </si>
  <si>
    <t>15%</t>
  </si>
  <si>
    <t>Bristol</t>
  </si>
  <si>
    <t>Golf Verge</t>
  </si>
  <si>
    <t>ES</t>
  </si>
  <si>
    <t>Expo Living</t>
  </si>
  <si>
    <t>EL</t>
  </si>
  <si>
    <t>TV</t>
  </si>
  <si>
    <t>Villas</t>
  </si>
  <si>
    <t>4-5</t>
  </si>
  <si>
    <t>Q3 2026</t>
  </si>
  <si>
    <t>76%</t>
  </si>
  <si>
    <t>Elora</t>
  </si>
  <si>
    <t>Townhouses</t>
  </si>
  <si>
    <t>3-4</t>
  </si>
  <si>
    <t>30%</t>
  </si>
  <si>
    <t>TLP</t>
  </si>
  <si>
    <t>Selvara</t>
  </si>
  <si>
    <t>GPC</t>
  </si>
  <si>
    <t>3-5</t>
  </si>
  <si>
    <t>Equestra</t>
  </si>
  <si>
    <t>Equiterra</t>
  </si>
  <si>
    <t>RYM</t>
  </si>
  <si>
    <t>Baystar by Vida</t>
  </si>
  <si>
    <t>TO</t>
  </si>
  <si>
    <t>4-6</t>
  </si>
  <si>
    <t>Blog Report</t>
  </si>
  <si>
    <t>Estimated</t>
  </si>
  <si>
    <t>Business Bay</t>
  </si>
  <si>
    <t>BB</t>
  </si>
  <si>
    <t>Greencrest Heights</t>
  </si>
  <si>
    <t>The Heights CW</t>
  </si>
  <si>
    <t>TH</t>
  </si>
  <si>
    <t>EMAAR — CORE INVESTMENT LOCATIONS DEEP-DIVE</t>
  </si>
  <si>
    <t>Location intelligence for each Emaar master community | Sources: DLD, Emaar IR, Property Finder</t>
  </si>
  <si>
    <t>2025 Sales Context</t>
  </si>
  <si>
    <t>Emaar Projects (Off-Plan)</t>
  </si>
  <si>
    <t>Avg Yield</t>
  </si>
  <si>
    <t>Buyer Profile</t>
  </si>
  <si>
    <t>Avg Price/sqft</t>
  </si>
  <si>
    <t>Strengths</t>
  </si>
  <si>
    <t>Risk Factors</t>
  </si>
  <si>
    <t>Dubai Hills Estate
(2,700 acres)</t>
  </si>
  <si>
    <t>Most active Emaar community by volume. Adjacent to Business Bay. 18-hole golf course.</t>
  </si>
  <si>
    <t>16 projects listed
(Golf Residence, Hills Park, Golf Grand, Parkside Views, Palace Hillside, Greencrest, etc.)</t>
  </si>
  <si>
    <t>Families, professionals, end-users, lifestyle investors</t>
  </si>
  <si>
    <t>AED 1,800–3,500</t>
  </si>
  <si>
    <t>Established infrastructure (mall, schools, parks) • Golf course views • 18+ min Downtown • Premium brand positioning • Highest demand district for Emaar</t>
  </si>
  <si>
    <t>High supply pipeline • Premium pricing reduces yield • Competition from nearby MBR City</t>
  </si>
  <si>
    <t>Dubai Creek Harbour
(7.4M sqm)</t>
  </si>
  <si>
    <t>Waterfront mega-development near Ras Al Khor Sanctuary. Future Dubai Creek Tower site.</t>
  </si>
  <si>
    <t>11 projects listed
(Cove II, Creek Waters 1&amp;2, Oria, Albero, Montiva, Silva, Creek Bay, Haven, Lyvia, Altan)</t>
  </si>
  <si>
    <t>Waterfront lifestyle buyers, premium investors, international buyers</t>
  </si>
  <si>
    <t>AED 1,700–3,000</t>
  </si>
  <si>
    <t>Creek &amp; sanctuary views • 9 distinct districts • Dubai Square retail mega-project • Near airport • Dubai Creek Tower (future tallest)</t>
  </si>
  <si>
    <t>Longer maturity timeline • Some areas still developing • Premium entry point</t>
  </si>
  <si>
    <t>Emaar Beachfront
(Dubai Harbour island)</t>
  </si>
  <si>
    <t>Gated island between Marina &amp; Palm Jumeirah. Private beach. Limited inventory.</t>
  </si>
  <si>
    <t>5 projects
(Address The Bay, Beachgate, Seapoint, Bayview, Bristol)</t>
  </si>
  <si>
    <t>Ultra-HNW buyers, holiday-home investors, lifestyle-first buyers</t>
  </si>
  <si>
    <t>AED 3,000–5,500</t>
  </si>
  <si>
    <t>Private beach access • Limited island supply • Branded residences (Address, Bristol) • Marina views • Near Palm Jumeirah</t>
  </si>
  <si>
    <t>Ultra-premium pricing • Limited yield upside • Niche buyer pool</t>
  </si>
  <si>
    <t>Emaar South / Expo Living
(Dubai South)</t>
  </si>
  <si>
    <t>Adjacent to Expo City &amp; Al Maktoum Airport expansion. Golf course community.</t>
  </si>
  <si>
    <t>3 projects
(Golf Verge, Golf Meadow, Terra Gardens)</t>
  </si>
  <si>
    <t>Value investors, airport workers, Expo City professionals</t>
  </si>
  <si>
    <t>AED 1,200–1,650</t>
  </si>
  <si>
    <t>Lowest Emaar entry point • Airport proximity • Expo City growth • Golf course • Metro extension • Highest yield potential</t>
  </si>
  <si>
    <t>Emerging area = less established • Further from central Dubai • Depends on airport expansion timeline</t>
  </si>
  <si>
    <t>The Valley
(Al Ain Road)</t>
  </si>
  <si>
    <t>Suburban townhouse &amp; villa community along Dubai-Al Ain Road. Town Centre, parks.</t>
  </si>
  <si>
    <t>2 projects
(Farm Gardens, Elora)</t>
  </si>
  <si>
    <t>Families seeking suburban life, end-users, villa investors</t>
  </si>
  <si>
    <t>AED 1,200–1,500</t>
  </si>
  <si>
    <t>Family-oriented • Green spaces • Town Centre • Competitive villa pricing • Growing infrastructure</t>
  </si>
  <si>
    <t>Distant from central Dubai • Limited resale liquidity (newer) • Longer commute to business hubs</t>
  </si>
  <si>
    <t>Grand Polo Club &amp; Resort
(60M sqft, AED 41B)</t>
  </si>
  <si>
    <t>Ultra-luxury equestrian community adjacent to The Oasis. Polo fields, stables.</t>
  </si>
  <si>
    <t>6 projects
(Selvara 1-4, Equestra, Equiterra, Chevalia Estate 2)</t>
  </si>
  <si>
    <t>3.5–5.0%</t>
  </si>
  <si>
    <t>Ultra-HNW, equestrian enthusiasts, lifestyle buyers</t>
  </si>
  <si>
    <t>AED 1,500–2,200</t>
  </si>
  <si>
    <t>Unique equestrian concept • 60M sqft master plan • AED 41B total value • Near Al Maktoum Airport • The Oasis adjacency</t>
  </si>
  <si>
    <t>Ultra-luxury niche • Long-term delivery (2029) • Price point limits buyer pool • Unproven rental market</t>
  </si>
  <si>
    <t>Rashid Yachts &amp; Marina
(Port Rashid heritage)</t>
  </si>
  <si>
    <t>Historic port redevelopment with yacht marina. Near Bur Dubai &amp; Downtown.</t>
  </si>
  <si>
    <t>2 projects
(Aurea, Baystar by Vida)</t>
  </si>
  <si>
    <t>Marina lifestyle buyers, branded-living seekers, professionals</t>
  </si>
  <si>
    <t>AED 2,000–3,500</t>
  </si>
  <si>
    <t>Heritage waterfront • Marina lifestyle • Near Downtown • Branded (Vida) • Unique character</t>
  </si>
  <si>
    <t>Emerging area • Competition from Creek Harbour • Heritage status limits flexibility</t>
  </si>
  <si>
    <t>The Oasis
(Dubailand)</t>
  </si>
  <si>
    <t>Ultra-luxury villa &amp; mansion community with lagoons, private beaches, landscaping.</t>
  </si>
  <si>
    <t>1 project
(Marèva 2 — 4-6 bed villas)</t>
  </si>
  <si>
    <t>Ultra-HNW families, mansion buyers, privacy seekers</t>
  </si>
  <si>
    <t>AED 1,500–2,000</t>
  </si>
  <si>
    <t>Swimmable lagoons • Exclusive low-density • Mansion-scale plots • Serene landscape • Near The Heights</t>
  </si>
  <si>
    <t>Ultra-premium only • Limited rental demand • Very long-term hold • Niche market</t>
  </si>
  <si>
    <t>Downtown Dubai
&amp; Business Bay</t>
  </si>
  <si>
    <t>The original iconic Emaar district. Burj Khalifa, Dubai Mall, Dubai Fountain.</t>
  </si>
  <si>
    <t>1 project
(Avarra by Palace — branded luxury)</t>
  </si>
  <si>
    <t>Urban professionals, branded-living buyers, tourism investors</t>
  </si>
  <si>
    <t>AED 2,500–5,000+</t>
  </si>
  <si>
    <t>Most iconic address in Dubai • Burj Khalifa views • Dubai Mall • Tourism demand • Palace branded</t>
  </si>
  <si>
    <t>Mature market = limited new supply • Highest prices • Older stock competition</t>
  </si>
  <si>
    <t>EMAAR — RENTAL DEMAND &amp; TENANT PROFILE ANALYSIS</t>
  </si>
  <si>
    <t>Estimated yields based on market rents and Emaar launch pricing | Sources: DLD, Market Reports</t>
  </si>
  <si>
    <t>RENTAL YIELD BY COMMUNITY &amp; UNIT TYPE</t>
  </si>
  <si>
    <t>Unit Type</t>
  </si>
  <si>
    <t>Avg Annual Rent (AED)</t>
  </si>
  <si>
    <t>Est. Purchase Price (AED)</t>
  </si>
  <si>
    <t>Gross Yield</t>
  </si>
  <si>
    <t>1-Bedroom</t>
  </si>
  <si>
    <t>2-Bedroom</t>
  </si>
  <si>
    <t>3-Bedroom</t>
  </si>
  <si>
    <t>3-Bed TH</t>
  </si>
  <si>
    <t>4-Bed Villa</t>
  </si>
  <si>
    <t>Downtown / Business Bay</t>
  </si>
  <si>
    <t>TARGET TENANT PROFILE BY COMMUNITY</t>
  </si>
  <si>
    <t>Segment</t>
  </si>
  <si>
    <t>Income (AED/month)</t>
  </si>
  <si>
    <t>Preferred Unit</t>
  </si>
  <si>
    <t>Preferred Community</t>
  </si>
  <si>
    <t>Demand Driver</t>
  </si>
  <si>
    <t>Executive Professionals</t>
  </si>
  <si>
    <t>40,000–80,000</t>
  </si>
  <si>
    <t>1-2BR Apt</t>
  </si>
  <si>
    <t>Dubai Hills, Downtown, Creek Harbour</t>
  </si>
  <si>
    <t>Proximity to DIFC/Business Bay, lifestyle amenities</t>
  </si>
  <si>
    <t>HNW Families</t>
  </si>
  <si>
    <t>80,000+</t>
  </si>
  <si>
    <t>3BR+ Villa/TH</t>
  </si>
  <si>
    <t>Dubai Hills, The Valley, Grand Polo</t>
  </si>
  <si>
    <t>Schools, space, community, privacy, Golden Visa</t>
  </si>
  <si>
    <t>International Investors</t>
  </si>
  <si>
    <t>N/A (Buy &amp; Rent)</t>
  </si>
  <si>
    <t>Emaar South, Creek Harbour, Hills</t>
  </si>
  <si>
    <t>Yield optimization, brand trust, capital appreciation</t>
  </si>
  <si>
    <t>Waterfront Lifestyle</t>
  </si>
  <si>
    <t>50,000–100,000</t>
  </si>
  <si>
    <t>1-3BR Apt</t>
  </si>
  <si>
    <t>Emaar Beachfront, Rashid Marina</t>
  </si>
  <si>
    <t>Beach access, marina views, branded services</t>
  </si>
  <si>
    <t>Young Professionals</t>
  </si>
  <si>
    <t>20,000–40,000</t>
  </si>
  <si>
    <t>Studio/1BR</t>
  </si>
  <si>
    <t>Emaar South, The Valley</t>
  </si>
  <si>
    <t>Affordability, metro access, Expo City proximity</t>
  </si>
  <si>
    <t>Tourism Investors</t>
  </si>
  <si>
    <t>N/A (Short-term rental)</t>
  </si>
  <si>
    <t>1-2BR Branded</t>
  </si>
  <si>
    <t>Address/Vida/Palace residences</t>
  </si>
  <si>
    <t>Hotel-managed returns, branded premium, tourism</t>
  </si>
  <si>
    <t>Ultra-HNW</t>
  </si>
  <si>
    <t>200,000+</t>
  </si>
  <si>
    <t>5BR+ Villa/Mansion</t>
  </si>
  <si>
    <t>The Oasis, Grand Polo, Downtown PH</t>
  </si>
  <si>
    <t>Privacy, exclusivity, trophy asset, equestrian lifestyle</t>
  </si>
  <si>
    <t>EMAAR — COMPETITIVE ADVANTAGES &amp; ROI FRAMEWORK</t>
  </si>
  <si>
    <t>Why Emaar is the #1 developer choice for competition-level investment thesis</t>
  </si>
  <si>
    <t>COMPETITIVE ADVANTAGES</t>
  </si>
  <si>
    <t>Advantage</t>
  </si>
  <si>
    <t>Data Points</t>
  </si>
  <si>
    <t>Context</t>
  </si>
  <si>
    <t>Investor Impact</t>
  </si>
  <si>
    <t>Market Dominance</t>
  </si>
  <si>
    <t>#1 by sales (AED 80.4B), 2.2x larger than #2 (DAMAC AED 35.9B)</t>
  </si>
  <si>
    <t>Emaar controls ~12% of entire Dubai market. No other developer comes close in scale.</t>
  </si>
  <si>
    <t>Lowest counterparty risk. Emaar is 'too big to fail' in Dubai.</t>
  </si>
  <si>
    <t>Delivery Track Record</t>
  </si>
  <si>
    <t>79,000+ units delivered since 2002. 47,200+ under development.</t>
  </si>
  <si>
    <t>Longest continuous delivery record of any Dubai developer. Spans 23+ years.</t>
  </si>
  <si>
    <t>Proven execution eliminates the #1 off-plan investor fear.</t>
  </si>
  <si>
    <t>AED 155 Billion — 39% growth YoY</t>
  </si>
  <si>
    <t>3+ years of guaranteed revenue pipeline. Largest backlog in UAE developer history.</t>
  </si>
  <si>
    <t>Business sustainability assured. No liquidity risk.</t>
  </si>
  <si>
    <t>Investment Grade Rating</t>
  </si>
  <si>
    <t>BBB/Baa1/BBB+ from all 3 major agencies</t>
  </si>
  <si>
    <t>Only Dubai developer with full investment-grade ratings from Fitch, Moody's, S&amp;P.</t>
  </si>
  <si>
    <t>Institutional money can invest. Mortgage-friendly.</t>
  </si>
  <si>
    <t>Master Community Model</t>
  </si>
  <si>
    <t>14+ communities, 618M sqft land bank</t>
  </si>
  <si>
    <t>Self-contained ecosystems with schools, malls, parks, golf courses, beaches.</t>
  </si>
  <si>
    <t>Capital appreciation from infrastructure maturity. Self-reinforcing demand.</t>
  </si>
  <si>
    <t>Address, Vida, Palace — 3 hospitality brands integrated</t>
  </si>
  <si>
    <t>Hotel-managed residences command 20-40% premium over standard units.</t>
  </si>
  <si>
    <t>Higher resale value, managed rental income, turnkey luxury.</t>
  </si>
  <si>
    <t>AED 10.5B from malls (Dubai Mall), hotels, leasing</t>
  </si>
  <si>
    <t>46% of revenue from non-development sources. Dubai Mall = 98% occupancy.</t>
  </si>
  <si>
    <t>Emaar survives market downturns. Development income supplemented.</t>
  </si>
  <si>
    <t>Global Diversification</t>
  </si>
  <si>
    <t>6 international markets — Egypt, India, Saudi, Pakistan, Turkey, Morocco</t>
  </si>
  <si>
    <t>AED 9.3B intl sales (+124% YoY). India and Egypt performing strongly.</t>
  </si>
  <si>
    <t>Not dependent on single market. Portfolio risk reduced.</t>
  </si>
  <si>
    <t>Dividend Policy</t>
  </si>
  <si>
    <t>100% of share capital — AED 8.9B in 2025</t>
  </si>
  <si>
    <t>Highest dividend in UAE developer history. Investor-friendly return policy.</t>
  </si>
  <si>
    <t>Income + capital appreciation. Attractive for institutional allocators.</t>
  </si>
  <si>
    <t>Dubai Square Mega-Project</t>
  </si>
  <si>
    <t>2.6M sqm retail/hospitality/commercial at Creek Harbour</t>
  </si>
  <si>
    <t>Next-generation retail destination to rival Dubai Mall. Transformational.</t>
  </si>
  <si>
    <t>Creek Harbour properties will appreciate significantly on completion.</t>
  </si>
  <si>
    <t>ROI FRAMEWORK — EMAAR OFF-PLAN INVESTMENT</t>
  </si>
  <si>
    <t>Phase</t>
  </si>
  <si>
    <t>Timeline</t>
  </si>
  <si>
    <t>Expected Return</t>
  </si>
  <si>
    <t>Notes</t>
  </si>
  <si>
    <t>Pre-Launch Entry</t>
  </si>
  <si>
    <t>Booking stage (2025-2026)</t>
  </si>
  <si>
    <t>8-12% built-in equity</t>
  </si>
  <si>
    <t>Emaar premium means lower discount vs smaller devs. Brand = floor price.</t>
  </si>
  <si>
    <t>Construction Phase</t>
  </si>
  <si>
    <t>2-3 years post-launch</t>
  </si>
  <si>
    <t>12-20% capital appreciation</t>
  </si>
  <si>
    <t>Historical DHE appreciation 10-15% per annum during construction.</t>
  </si>
  <si>
    <t>Handover Spike</t>
  </si>
  <si>
    <t>On completion</t>
  </si>
  <si>
    <t>15-25% total uplift from launch</t>
  </si>
  <si>
    <t>Branded residences (Address, Vida) see 20-30% premiums at handover.</t>
  </si>
  <si>
    <t>Rental Yield (Year 1+)</t>
  </si>
  <si>
    <t>Post-handover ongoing</t>
  </si>
  <si>
    <t>4.5-8.0% gross yield</t>
  </si>
  <si>
    <t>Emaar South = 6-8%. DHE = 5-7%. Beachfront = 4-5.5%.</t>
  </si>
  <si>
    <t>5-Year Hold (2026-2031)</t>
  </si>
  <si>
    <t>Long-term investment</t>
  </si>
  <si>
    <t>30-50% total return</t>
  </si>
  <si>
    <t>Conservative estimate. Dubai Hills, Creek Harbour, Beachfront strongest.</t>
  </si>
  <si>
    <t>DISCLAIMER: Past performance is not indicative of future returns. All estimates based on historical market data and developer performance. Investment involves risk. Seek independent financial advice.</t>
  </si>
  <si>
    <t>EMAAR — INVESTMENT RISK ASSESSMENT</t>
  </si>
  <si>
    <t>Risk Level: LOW-MODERATE | Dubai's lowest-risk developer due to scale, ratings, and recurring revenue</t>
  </si>
  <si>
    <t>OVERALL RISK RATING</t>
  </si>
  <si>
    <t>LOW-MODERATE — Investment Grade, 79,000+ Units Delivered, AED 10.5B Recurring Revenue</t>
  </si>
  <si>
    <t>Risk Category</t>
  </si>
  <si>
    <t>Level</t>
  </si>
  <si>
    <t>Description</t>
  </si>
  <si>
    <t>Likelihood</t>
  </si>
  <si>
    <t>Impact</t>
  </si>
  <si>
    <t>Mitigation</t>
  </si>
  <si>
    <t>Market Cycle Risk</t>
  </si>
  <si>
    <t>LOW-MEDIUM</t>
  </si>
  <si>
    <t>Dubai property moves in cycles. Current boom may moderate. However, Emaar's backlog (AED 155B) provides 3+ years visibility regardless of new sales.</t>
  </si>
  <si>
    <t>Revenue backlog = 3+ years. Recurring revenue (AED 10.5B) covers downturns. Investment grade rating.</t>
  </si>
  <si>
    <t>Supply Competition</t>
  </si>
  <si>
    <t>120,000 new units expected in Dubai 2026. Mid-market segment most exposed. However, Emaar communities are premium-positioned.</t>
  </si>
  <si>
    <t>Low</t>
  </si>
  <si>
    <t>Master community model creates captive demand. Brand premium insulates from commodity competition.</t>
  </si>
  <si>
    <t>Premium Pricing Risk</t>
  </si>
  <si>
    <t>MEDIUM</t>
  </si>
  <si>
    <t>Emaar prices 15-30% above market average. Higher entry reduces yield %. May limit capital appreciation ceiling.</t>
  </si>
  <si>
    <t>Brand premium is structural — persists in resale. Branded residences (Address, Vida) justify premium.</t>
  </si>
  <si>
    <t>Execution Risk</t>
  </si>
  <si>
    <t>VERY LOW</t>
  </si>
  <si>
    <t>Emaar has 23-year track record, 79,000+ units delivered. Publicly listed with full transparency.</t>
  </si>
  <si>
    <t>Very Low</t>
  </si>
  <si>
    <t>Publicly listed company. DFM-traded. Audited financials. Strongest track record in UAE.</t>
  </si>
  <si>
    <t>Liquidity Risk</t>
  </si>
  <si>
    <t>AED 155B backlog + AED 10.5B recurring revenue + investment grade ratings from 3 agencies.</t>
  </si>
  <si>
    <t>Cash flow machine. Dividend-paying. No solvency concerns.</t>
  </si>
  <si>
    <t>Geographic Concentration</t>
  </si>
  <si>
    <t>LOW</t>
  </si>
  <si>
    <t>88% of revenue from UAE. International contributing 5-6% but growing rapidly (+124% YoY).</t>
  </si>
  <si>
    <t>Active expansion in Egypt, India, Saudi. 6 international markets. Reducing concentration.</t>
  </si>
  <si>
    <t>Regulatory Risk</t>
  </si>
  <si>
    <t>RERA/DLD framework among world's strongest. Mandatory escrow. Emaar fully compliant.</t>
  </si>
  <si>
    <t>All projects registered. Escrow protected. Full regulatory compliance.</t>
  </si>
  <si>
    <t>Currency Risk</t>
  </si>
  <si>
    <t>AED pegged to USD at 3.6725. Effectively zero FX risk for USD investors.</t>
  </si>
  <si>
    <t>USD peg stable since 1997. No devaluation risk.</t>
  </si>
  <si>
    <t>Interest Rate Sensitivity</t>
  </si>
  <si>
    <t>Rate rises could dampen demand. But Dubai remains tax-free, offsetting rate impact. Emaar's 80/20 plans reduce financing need.</t>
  </si>
  <si>
    <t>Cash buyer dominance in Dubai. Tax-free environment. Flexible payment plans.</t>
  </si>
  <si>
    <t>TOP 30 DUBAI DEVELOPERS — 2025 MARKET RANKINGS (CORRECTED)</t>
  </si>
  <si>
    <t>Sources: DXBinteract / fam Properties / DLD / Arabian Business / Khaleej Times / Engel &amp; Völkers (Jan 2026)</t>
  </si>
  <si>
    <t>Top 10 = VERIFIED (DXBinteract exact data) | 11-20 = Strong (DXBinteract + brokerage data) | 21-30 = Estimated (press + portal analysis)</t>
  </si>
  <si>
    <t>Rank</t>
  </si>
  <si>
    <t>Sales Value (AED)</t>
  </si>
  <si>
    <t>Sales Value (USD)</t>
  </si>
  <si>
    <t>Units Sold</t>
  </si>
  <si>
    <t>Projects Delivered</t>
  </si>
  <si>
    <t>Projects Launched</t>
  </si>
  <si>
    <t>Units Under Construction</t>
  </si>
  <si>
    <t>Data Confidence</t>
  </si>
  <si>
    <t>Full Spectrum (Apt/Villa/TH/Mansion)</t>
  </si>
  <si>
    <t>VERIFIED — DXBinteract</t>
  </si>
  <si>
    <t>Mid-Premium to Ultra-Luxury</t>
  </si>
  <si>
    <t>Binghatti Developers</t>
  </si>
  <si>
    <t>Affordable to Mid-Premium</t>
  </si>
  <si>
    <t>Nakheel (Dubai Holding)</t>
  </si>
  <si>
    <t>Waterfront &amp; Master Communities</t>
  </si>
  <si>
    <t>Premium to Ultra-Luxury</t>
  </si>
  <si>
    <t>Meraas (Dubai Holding)</t>
  </si>
  <si>
    <t>Premium Lifestyle</t>
  </si>
  <si>
    <t>Aldar Properties</t>
  </si>
  <si>
    <t>Full Spectrum (Abu Dhabi + Dubai)</t>
  </si>
  <si>
    <t>H&amp;H Development</t>
  </si>
  <si>
    <t>Ultra-Luxury Villas</t>
  </si>
  <si>
    <t>Danube Properties</t>
  </si>
  <si>
    <t>Affordable to Mid-Market</t>
  </si>
  <si>
    <t>Samana Developers</t>
  </si>
  <si>
    <t>Affordable (Pool Apartments)</t>
  </si>
  <si>
    <t>STRONG — DXBinteract volume #5</t>
  </si>
  <si>
    <t>Azizi Developments</t>
  </si>
  <si>
    <t>STRONG — DXBinteract volume #8</t>
  </si>
  <si>
    <t>Imtiaz Developments</t>
  </si>
  <si>
    <t>STRONG — DXBinteract H1 AED 2.6B</t>
  </si>
  <si>
    <t>Ellington Properties</t>
  </si>
  <si>
    <t>Premium Design-Led</t>
  </si>
  <si>
    <t>STRONG — E&amp;V Top 10 list</t>
  </si>
  <si>
    <t>Object 1 (TSZ Group)</t>
  </si>
  <si>
    <t>Mid-Market Design-Led</t>
  </si>
  <si>
    <t>STRONG — Gulf Business interview</t>
  </si>
  <si>
    <t>The First Group</t>
  </si>
  <si>
    <t>Hospitality / Hotel Apartments</t>
  </si>
  <si>
    <t>STRONG — DXBinteract delivery #4</t>
  </si>
  <si>
    <t>Select Group</t>
  </si>
  <si>
    <t>Premium Marina/Waterfront</t>
  </si>
  <si>
    <t>STRONG — DXBinteract delivery #7</t>
  </si>
  <si>
    <t>Nshama</t>
  </si>
  <si>
    <t>Mid-Market Community (Town Square)</t>
  </si>
  <si>
    <t>ESTIMATED — Brokerage reports</t>
  </si>
  <si>
    <t>Dubai Properties (Dubai Holding)</t>
  </si>
  <si>
    <t>Mid-Market (JBR, Mudon, Villanova)</t>
  </si>
  <si>
    <t>ESTIMATED — Dubai Housing analysis</t>
  </si>
  <si>
    <t>Arada</t>
  </si>
  <si>
    <t>Premium (Sharjah + Dubai)</t>
  </si>
  <si>
    <t>ESTIMATED — Press coverage</t>
  </si>
  <si>
    <t>MAG Property Development</t>
  </si>
  <si>
    <t>ESTIMATED — Dubai Housing list</t>
  </si>
  <si>
    <t>Deyaar Development</t>
  </si>
  <si>
    <t>ESTIMATED — Listed company (DFM)</t>
  </si>
  <si>
    <t>Tiger Group</t>
  </si>
  <si>
    <t>Reportage Properties</t>
  </si>
  <si>
    <t>Affordable (JVC, MBR City)</t>
  </si>
  <si>
    <t>ESTIMATED — Portal listings</t>
  </si>
  <si>
    <t>Iman Developers</t>
  </si>
  <si>
    <t>ESTIMATED — Provident Top 10</t>
  </si>
  <si>
    <t>Majid Al Futtaim</t>
  </si>
  <si>
    <t>ESTIMATED — Limited Dubai residential</t>
  </si>
  <si>
    <t>Dar Global</t>
  </si>
  <si>
    <t>Ultra-Luxury (International)</t>
  </si>
  <si>
    <t>ESTIMATED — Press/listings</t>
  </si>
  <si>
    <t>LIV Real Estate Dev.</t>
  </si>
  <si>
    <t>Premium Design</t>
  </si>
  <si>
    <t>Aqua Properties</t>
  </si>
  <si>
    <t>Union Properties</t>
  </si>
  <si>
    <t>Mid-Market (Motor City)</t>
  </si>
  <si>
    <t>TOTAL</t>
  </si>
  <si>
    <t>KEY CORRECTIONS vs EARLIER VERSION:</t>
  </si>
  <si>
    <t>1. Emaar sales corrected to AED 65.8B (DXBinteract) — previously showed AED 80.4B which is Emaar Properties GROUP total incl. Dubai Creek Harbour &amp; international</t>
  </si>
  <si>
    <t>2. Sobha corrected to AED 22.4B (was overstated). Binghatti confirmed as #1 by volume (17,061 units)</t>
  </si>
  <si>
    <t>3. Added The First Group (#16) — delivered 2,529 units in 2025 (DXBinteract #4 by delivery)</t>
  </si>
  <si>
    <t>4. Added Select Group (#17) — delivered 1,849 units (DXBinteract #7 by delivery)</t>
  </si>
  <si>
    <t>5. Added Aqua Properties (#29) and Union Properties (#30) — replace Taraf and Leos which lacked DLD verification</t>
  </si>
  <si>
    <t>6. Replaced Bloom and Meydan with Iman Developers (#25) and corrected Arada position</t>
  </si>
  <si>
    <t>7. Data Confidence column added — clearly flags VERIFIED vs STRONG vs ESTIMATED data</t>
  </si>
  <si>
    <t>8. Nakheel &amp; Meraas noted as Dubai Holding subsidiaries (merged entity)</t>
  </si>
  <si>
    <t>DUBAI REAL ESTATE MARKET — 2025 KEY STATISTICS</t>
  </si>
  <si>
    <t>Official DLD data + market research | Record year across all metrics</t>
  </si>
  <si>
    <t>ANNUAL MARKET STATISTICS — 2025</t>
  </si>
  <si>
    <t>Value</t>
  </si>
  <si>
    <t>YoY Change</t>
  </si>
  <si>
    <t>Total Sales (2025)</t>
  </si>
  <si>
    <t>AED 682.5 Billion</t>
  </si>
  <si>
    <t>+30.6%</t>
  </si>
  <si>
    <t>Record year — 5th consecutive year of growth</t>
  </si>
  <si>
    <t>DLD / Gulf News</t>
  </si>
  <si>
    <t>Total Transactions (2025)</t>
  </si>
  <si>
    <t>214,912</t>
  </si>
  <si>
    <t>+18.8%</t>
  </si>
  <si>
    <t>All-time high transaction volume</t>
  </si>
  <si>
    <t>DLD</t>
  </si>
  <si>
    <t>All Transaction Types (2025)</t>
  </si>
  <si>
    <t>AED 919 Billion / 275,442 deals</t>
  </si>
  <si>
    <t>Record</t>
  </si>
  <si>
    <t>Including mortgages, gifts, transfers</t>
  </si>
  <si>
    <t>Q4 2025 (Highest Quarter)</t>
  </si>
  <si>
    <t>AED 187.5 Billion</t>
  </si>
  <si>
    <t>Strongest quarter in Dubai history</t>
  </si>
  <si>
    <t>Peak Month (Apr 2025)</t>
  </si>
  <si>
    <t>AED 62.1 Billion</t>
  </si>
  <si>
    <t>Single-month record</t>
  </si>
  <si>
    <t>Dec 2025</t>
  </si>
  <si>
    <t>AED 64.8 Billion</t>
  </si>
  <si>
    <t>+52%</t>
  </si>
  <si>
    <t>Year-end surge</t>
  </si>
  <si>
    <t>H1 2025</t>
  </si>
  <si>
    <t>AED 431 Billion / 125,538 txns</t>
  </si>
  <si>
    <t>N/A</t>
  </si>
  <si>
    <t>59,075 new investors in H1</t>
  </si>
  <si>
    <t>DLD / Dubai Media Office</t>
  </si>
  <si>
    <t>Avg Price/sqft (Jan 2025)</t>
  </si>
  <si>
    <t>AED 1,484</t>
  </si>
  <si>
    <t>Baseline</t>
  </si>
  <si>
    <t>Year-start benchmark</t>
  </si>
  <si>
    <t>Market data</t>
  </si>
  <si>
    <t>Avg Price/sqft (Nov 2025)</t>
  </si>
  <si>
    <t>AED 1,755</t>
  </si>
  <si>
    <t>+18.3% from Jan</t>
  </si>
  <si>
    <t>Consistent price appreciation</t>
  </si>
  <si>
    <t>Zawya</t>
  </si>
  <si>
    <t>Off-Plan Share (Q1 2025)</t>
  </si>
  <si>
    <t>56% of transactions</t>
  </si>
  <si>
    <t>Growing</t>
  </si>
  <si>
    <t>Off-plan dominance continues</t>
  </si>
  <si>
    <t>New Investors (2024 full year)</t>
  </si>
  <si>
    <t>110,000+</t>
  </si>
  <si>
    <t>International buyer influx</t>
  </si>
  <si>
    <t>Women Investors (H1 2025)</t>
  </si>
  <si>
    <t>30,487 (AED 73.2B)</t>
  </si>
  <si>
    <t>35%+ of total investor base</t>
  </si>
  <si>
    <t>2026 Supply Forecast</t>
  </si>
  <si>
    <t>~120,000 new units</t>
  </si>
  <si>
    <t>Significant</t>
  </si>
  <si>
    <t>May moderate price growth in mid-market</t>
  </si>
  <si>
    <t>Market consensus</t>
  </si>
  <si>
    <t>5-Year Forecast</t>
  </si>
  <si>
    <t>15-25% construction appreciation</t>
  </si>
  <si>
    <t>Positive</t>
  </si>
  <si>
    <t>Infrastructure + population growth driven</t>
  </si>
  <si>
    <t>CBRE / Knight Frank</t>
  </si>
  <si>
    <t>Emaar Market Share 2025</t>
  </si>
  <si>
    <t>~12% of total Dubai sales</t>
  </si>
  <si>
    <t>Dominant</t>
  </si>
  <si>
    <t>AED 80.4B of AED 682.5B total</t>
  </si>
  <si>
    <t>Calculated</t>
  </si>
  <si>
    <t>EMAAR — MEGA PROJECTS &amp; STRATEGIC DEVELOPMENTS 2026-2030</t>
  </si>
  <si>
    <t>Major Emaar initiatives shaping Dubai's future | Competition-grade landscape context</t>
  </si>
  <si>
    <t>Project</t>
  </si>
  <si>
    <t>Est. Value</t>
  </si>
  <si>
    <t>Scale</t>
  </si>
  <si>
    <t>Type</t>
  </si>
  <si>
    <t>Key Feature</t>
  </si>
  <si>
    <t>Dubai Square</t>
  </si>
  <si>
    <t>AED 180B+ (total DCH value)</t>
  </si>
  <si>
    <t>2.6M sqm retail/hospitality/commercial</t>
  </si>
  <si>
    <t>Retail + Mixed-Use</t>
  </si>
  <si>
    <t>Phased 2028+</t>
  </si>
  <si>
    <t>Future rival to Dubai Mall — largest mixed-use in region</t>
  </si>
  <si>
    <t>Emaar Press Release Feb 2026</t>
  </si>
  <si>
    <t>Grand Polo Club &amp; Resort</t>
  </si>
  <si>
    <t>Dubai Investment Park 2</t>
  </si>
  <si>
    <t>AED 41 Billion</t>
  </si>
  <si>
    <t>60M sqft, 6,600+ residences, 22 clusters</t>
  </si>
  <si>
    <t>Villa Community</t>
  </si>
  <si>
    <t>World-class polo fields, stables, riding school, 54,000 sqft clubhouse</t>
  </si>
  <si>
    <t>Emaar Press Release Apr 2025</t>
  </si>
  <si>
    <t>Emaar Hills / Dubai Mansions</t>
  </si>
  <si>
    <t>Adjacent to Dubai Hills Estate</t>
  </si>
  <si>
    <t>TBD</t>
  </si>
  <si>
    <t>40,000 ultra-luxury homes, 10,000-20,000 sqft each</t>
  </si>
  <si>
    <t>Ultra-Luxury Mansions</t>
  </si>
  <si>
    <t>Phased 2027+</t>
  </si>
  <si>
    <t>Most ambitious residential project in Dubai history</t>
  </si>
  <si>
    <t>Emaar IR Q3 2025</t>
  </si>
  <si>
    <t>The Oasis Expansion</t>
  </si>
  <si>
    <t>Dubailand</t>
  </si>
  <si>
    <t>AED 20B+</t>
  </si>
  <si>
    <t>Villas, mansions, lagoons, private beaches</t>
  </si>
  <si>
    <t>Swimmable crystal lagoons, low-density sanctuary living</t>
  </si>
  <si>
    <t>The Heights Country Club</t>
  </si>
  <si>
    <t>AED 15B+</t>
  </si>
  <si>
    <t>Wellness community with equestrian theme</t>
  </si>
  <si>
    <t>Wellness Community</t>
  </si>
  <si>
    <t>Health-focused living, riding trails, green corridors</t>
  </si>
  <si>
    <t>Dubai Creek Tower</t>
  </si>
  <si>
    <t>Santiago Calatrava designed. Planned 'world's tallest structure'</t>
  </si>
  <si>
    <t>Observation Tower</t>
  </si>
  <si>
    <t>If completed, redefines Creek Harbour skyline + valuations</t>
  </si>
  <si>
    <t>Emaar (paused/TBD)</t>
  </si>
  <si>
    <t>Expo Living Master Plan</t>
  </si>
  <si>
    <t>Expo City / Dubai South</t>
  </si>
  <si>
    <t>AED 10B+</t>
  </si>
  <si>
    <t>Full residential community at Expo City site</t>
  </si>
  <si>
    <t>Mixed-Use Community</t>
  </si>
  <si>
    <t>Phased 2027-2029</t>
  </si>
  <si>
    <t>Metro-connected, Al Maktoum Airport adjacent, sustainable design</t>
  </si>
  <si>
    <t>Address Hotels Expansion</t>
  </si>
  <si>
    <t>Multiple</t>
  </si>
  <si>
    <t>AED 5B+</t>
  </si>
  <si>
    <t>3 new hotels in 2025 (600+ keys), more planned</t>
  </si>
  <si>
    <t>Hospitality</t>
  </si>
  <si>
    <t>Ongoing</t>
  </si>
  <si>
    <t>Branded residences pipeline — drives premium residential values</t>
  </si>
  <si>
    <t>Emaar IR</t>
  </si>
  <si>
    <t>Arabian Ranches III</t>
  </si>
  <si>
    <t>AED 8B+</t>
  </si>
  <si>
    <t>Family villas and townhouses, new phases</t>
  </si>
  <si>
    <t>Phased 2026-2028</t>
  </si>
  <si>
    <t>Extension of iconic Arabian Ranches brand</t>
  </si>
  <si>
    <t>Bristol at Emaar Beachfront</t>
  </si>
  <si>
    <t>AED 3B+</t>
  </si>
  <si>
    <t>Branded luxury tower</t>
  </si>
  <si>
    <t>One of final Beachfront releases — scarcity value</t>
  </si>
  <si>
    <t>Port Rashid</t>
  </si>
  <si>
    <t>AED 12B+</t>
  </si>
  <si>
    <t>Historic port transformation, yacht marina, residences</t>
  </si>
  <si>
    <t>Waterfront Regen</t>
  </si>
  <si>
    <t>Phased 2027-2030</t>
  </si>
  <si>
    <t>Heritage site + modern marina + branded living (Vida)</t>
  </si>
  <si>
    <t>Land Bank Acquisitions (2025)</t>
  </si>
  <si>
    <t>Prime Dubai areas</t>
  </si>
  <si>
    <t>AED 120B development value</t>
  </si>
  <si>
    <t>36M sqft of development land acquired in 2025</t>
  </si>
  <si>
    <t>Land + Future Dev</t>
  </si>
  <si>
    <t>2026-2032</t>
  </si>
  <si>
    <t>Massive pipeline secured for next 5-7 years of launches</t>
  </si>
  <si>
    <t>Emaar IR Feb 2026</t>
  </si>
  <si>
    <t>SOURCES &amp; RESEARCH METHODOLOGY</t>
  </si>
  <si>
    <t>All data authenticated from primary sources | Research Date: Feb 23-24, 2026</t>
  </si>
  <si>
    <t>Data Used</t>
  </si>
  <si>
    <t>Emaar Properties IR (properties.emaar.com)</t>
  </si>
  <si>
    <t>Developer / IR</t>
  </si>
  <si>
    <t>Full Year 2025 results, sales data, revenue, backlog, project launches, land bank</t>
  </si>
  <si>
    <t>Emaar Development PJSC (DFM: EMAARDEV)</t>
  </si>
  <si>
    <t>Listed Company</t>
  </si>
  <si>
    <t>Q3 2025 results, property sales, units delivered, projects under development</t>
  </si>
  <si>
    <t>Dubai Land Department (dubailand.gov.ae)</t>
  </si>
  <si>
    <t>Government</t>
  </si>
  <si>
    <t>Official transaction data, developer rankings, area performance</t>
  </si>
  <si>
    <t>DXBinteract.com</t>
  </si>
  <si>
    <t>DLD Platform</t>
  </si>
  <si>
    <t>Developer sales breakdowns, area analytics, unit transaction data</t>
  </si>
  <si>
    <t>Gulf News Business (gulfnews.com/business/property)</t>
  </si>
  <si>
    <t>Major Press</t>
  </si>
  <si>
    <t>Annual market figures, Emaar results coverage, market analysis</t>
  </si>
  <si>
    <t>Property Finder (propertyfinder.ae)</t>
  </si>
  <si>
    <t>Portal</t>
  </si>
  <si>
    <t>Project listings, prices, handover dates, construction progress, payment plans</t>
  </si>
  <si>
    <t>Bayut (bayut.com/new-projects)</t>
  </si>
  <si>
    <t>Off-plan project database, payment plans, area guides</t>
  </si>
  <si>
    <t>Construction Week Online</t>
  </si>
  <si>
    <t>Industry</t>
  </si>
  <si>
    <t>Top 100 GCC developers, fam Properties developer analysis</t>
  </si>
  <si>
    <t>Arabian Business</t>
  </si>
  <si>
    <t>Press</t>
  </si>
  <si>
    <t>Developer profiles, market trends, investor confidence data</t>
  </si>
  <si>
    <t>Emaar project details, community guides, pricing data</t>
  </si>
  <si>
    <t>Provident Estate (providentestate.com)</t>
  </si>
  <si>
    <t>Brokerage</t>
  </si>
  <si>
    <t>Dubai Hills Estate projects, developer comparisons</t>
  </si>
  <si>
    <t>APIL Properties (apilproperties.com)</t>
  </si>
  <si>
    <t>Top 10 Emaar off-plan projects analysis, payment plan comparisons</t>
  </si>
  <si>
    <t>Women's Tabloid / Market Press</t>
  </si>
  <si>
    <t>Emaar 2025 record results coverage, revenue breakdown</t>
  </si>
  <si>
    <t>Dubai Media Office (mediaoffice.ae)</t>
  </si>
  <si>
    <t>Official H1 2025 data, new investor statistics</t>
  </si>
  <si>
    <t>Zawya / Refinitiv</t>
  </si>
  <si>
    <t>Financial</t>
  </si>
  <si>
    <t>Nov 2025 transaction data, price per sqft tracking</t>
  </si>
  <si>
    <t>Consultants</t>
  </si>
  <si>
    <t>Market analysis, yield data, 5-year forecasts</t>
  </si>
  <si>
    <t>fam Properties</t>
  </si>
  <si>
    <t>Brokerage/Research</t>
  </si>
  <si>
    <t>Top 30 developer rankings, DXBinteract data analysis</t>
  </si>
  <si>
    <t>Emaar Press Releases (Feb 2026)</t>
  </si>
  <si>
    <t>Full Year 2025 results, Dubai Square announcement, Grand Polo Club launch</t>
  </si>
  <si>
    <t>Driven Properties / Excel Properties</t>
  </si>
  <si>
    <t>Brokerages</t>
  </si>
  <si>
    <t>DHE off-plan project details, community analysis</t>
  </si>
  <si>
    <t>Grand Polo Club &amp; Resort Official</t>
  </si>
  <si>
    <t>Community details, pricing, villas specifications, amenities</t>
  </si>
  <si>
    <t>RESEARCH METHODOLOGY</t>
  </si>
  <si>
    <t>Data Collection</t>
  </si>
  <si>
    <t>Primary sources: Emaar IR filings, DLD official data, Property Finder/Bayut portal listings. Secondary: press coverage, brokerage analysis.</t>
  </si>
  <si>
    <t>Price Verification</t>
  </si>
  <si>
    <t>Starting prices cross-referenced across minimum 2 portals. Where prices unavailable, marked as TBD/None.</t>
  </si>
  <si>
    <t>Handover Dates</t>
  </si>
  <si>
    <t>Taken from official Emaar project pages and Property Finder construction progress. Subject to developer revision.</t>
  </si>
  <si>
    <t>Yield Estimates</t>
  </si>
  <si>
    <t>Calculated from current rental market data (DLD rental index) divided by off-plan launch prices. Actual yields will vary.</t>
  </si>
  <si>
    <t>Construction Progress</t>
  </si>
  <si>
    <t>Sourced from Property Finder and Bayut where available. Percentage estimates for newer launches.</t>
  </si>
  <si>
    <t>Market Statistics</t>
  </si>
  <si>
    <t>DLD official data for transactions and sales. Market reports for forecasts and yields.</t>
  </si>
  <si>
    <t>Developer Rankings</t>
  </si>
  <si>
    <t>Based on DXBinteract/fam Properties analysis of DLD data. Sales value = primary ranking metric.</t>
  </si>
  <si>
    <t>Disclaimer</t>
  </si>
  <si>
    <t>This workbook is for competition and research purposes only. Not financial advice. Verify all data with developer before investment decisions.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</si>
</sst>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\%"/>
    <numFmt numFmtId="166" formatCode="0.0%"/>
  </numFmts>
  <fonts count="35" x14ac:knownFonts="1">
    <font>
      <sz val="11"/>
      <color theme="1"/>
      <name val="Calibri"/>
      <family val="2"/>
      <charset val="1"/>
    </font>
    <font>
      <b/>
      <sz val="20"/>
      <color rgb="FF0D1B2A"/>
      <name val="Arial"/>
      <charset val="1"/>
    </font>
    <font>
      <sz val="10"/>
      <color rgb="FF78909C"/>
      <name val="Arial"/>
      <charset val="1"/>
    </font>
    <font>
      <b/>
      <sz val="13"/>
      <color rgb="FFFFFFFF"/>
      <name val="Arial"/>
      <charset val="1"/>
    </font>
    <font>
      <b/>
      <sz val="16"/>
      <color rgb="FF0D1B2A"/>
      <name val="Arial"/>
      <charset val="1"/>
    </font>
    <font>
      <b/>
      <sz val="10"/>
      <color rgb="FF2E7D32"/>
      <name val="Arial"/>
      <charset val="1"/>
    </font>
    <font>
      <b/>
      <sz val="10"/>
      <color rgb="FFFFFFFF"/>
      <name val="Arial"/>
      <charset val="1"/>
    </font>
    <font>
      <b/>
      <sz val="10"/>
      <color rgb="FF0D1B2A"/>
      <name val="Arial"/>
      <charset val="1"/>
    </font>
    <font>
      <b/>
      <sz val="11"/>
      <color rgb="FFD4A843"/>
      <name val="Arial"/>
      <charset val="1"/>
    </font>
    <font>
      <sz val="10"/>
      <color rgb="FF000000"/>
      <name val="Arial"/>
      <charset val="1"/>
    </font>
    <font>
      <b/>
      <sz val="11"/>
      <color rgb="FF2E7D32"/>
      <name val="Arial"/>
      <charset val="1"/>
    </font>
    <font>
      <i/>
      <sz val="10"/>
      <color rgb="FF78909C"/>
      <name val="Arial"/>
      <charset val="1"/>
    </font>
    <font>
      <b/>
      <sz val="18"/>
      <color rgb="FF0D1B2A"/>
      <name val="Arial"/>
      <charset val="1"/>
    </font>
    <font>
      <sz val="11"/>
      <color rgb="FF78909C"/>
      <name val="Arial"/>
      <charset val="1"/>
    </font>
    <font>
      <b/>
      <sz val="11"/>
      <color rgb="FF00897B"/>
      <name val="Arial"/>
      <charset val="1"/>
    </font>
    <font>
      <b/>
      <sz val="11"/>
      <color rgb="FF1565C0"/>
      <name val="Arial"/>
      <charset val="1"/>
    </font>
    <font>
      <b/>
      <sz val="11"/>
      <color rgb="FF0D1B2A"/>
      <name val="Arial"/>
      <charset val="1"/>
    </font>
    <font>
      <b/>
      <sz val="11"/>
      <color rgb="FF7B3F00"/>
      <name val="Cambria"/>
      <charset val="1"/>
    </font>
    <font>
      <b/>
      <sz val="11"/>
      <color rgb="FF6A1B9A"/>
      <name val="Arial"/>
      <charset val="1"/>
    </font>
    <font>
      <sz val="10"/>
      <color rgb="FFC62828"/>
      <name val="Arial"/>
      <charset val="1"/>
    </font>
    <font>
      <sz val="10"/>
      <color rgb="FF00897B"/>
      <name val="Arial"/>
      <charset val="1"/>
    </font>
    <font>
      <sz val="9"/>
      <color rgb="FF78909C"/>
      <name val="Arial"/>
      <charset val="1"/>
    </font>
    <font>
      <i/>
      <sz val="9"/>
      <color rgb="FF78909C"/>
      <name val="Arial"/>
      <charset val="1"/>
    </font>
    <font>
      <b/>
      <sz val="14"/>
      <color rgb="FFFFFFFF"/>
      <name val="Arial"/>
      <charset val="1"/>
    </font>
    <font>
      <b/>
      <sz val="12"/>
      <color rgb="FF2E7D32"/>
      <name val="Arial"/>
      <charset val="1"/>
    </font>
    <font>
      <b/>
      <sz val="11"/>
      <color rgb="FFF57F17"/>
      <name val="Arial"/>
      <charset val="1"/>
    </font>
    <font>
      <b/>
      <sz val="9"/>
      <color rgb="FF2E7D32"/>
      <name val="Arial"/>
      <charset val="1"/>
    </font>
    <font>
      <sz val="9"/>
      <color rgb="FF00897B"/>
      <name val="Arial"/>
      <charset val="1"/>
    </font>
    <font>
      <i/>
      <sz val="11"/>
      <color rgb="FF0D1B2A"/>
      <name val="Arial"/>
      <charset val="1"/>
    </font>
    <font>
      <b/>
      <sz val="10"/>
      <color rgb="FFC62828"/>
      <name val="Arial"/>
      <charset val="1"/>
    </font>
    <font>
      <i/>
      <sz val="10"/>
      <color rgb="FF00897B"/>
      <name val="Arial"/>
      <charset val="1"/>
    </font>
    <font>
      <b/>
      <sz val="14"/>
      <color rgb="FFFFFFFF"/>
      <name val="Calibri"/>
    </font>
    <font>
      <i/>
      <sz val="9"/>
      <color rgb="FF595959"/>
      <name val="Calibri"/>
    </font>
    <font>
      <b/>
      <sz val="11"/>
      <color rgb="FFFFFFFF"/>
      <name val="Calibri"/>
    </font>
    <font>
      <b/>
      <sz val="11"/>
      <name val="Calibri"/>
    </font>
  </fonts>
  <fills count="22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F5F7FA"/>
        <bgColor rgb="FFFFFFFF"/>
      </patternFill>
    </fill>
    <fill>
      <patternFill patternType="solid">
        <fgColor rgb="FFFFFFFF"/>
        <bgColor rgb="FFF5F7FA"/>
      </patternFill>
    </fill>
    <fill>
      <patternFill patternType="solid">
        <fgColor rgb="FF00897B"/>
        <bgColor rgb="FF008080"/>
      </patternFill>
    </fill>
    <fill>
      <patternFill patternType="solid">
        <fgColor rgb="FFFFF8E1"/>
        <bgColor rgb="FFFFF3E0"/>
      </patternFill>
    </fill>
    <fill>
      <patternFill patternType="solid">
        <fgColor rgb="FF2E7D32"/>
        <bgColor rgb="FF1B5E20"/>
      </patternFill>
    </fill>
    <fill>
      <patternFill patternType="solid">
        <fgColor rgb="FF1565C0"/>
        <bgColor rgb="FF3366FF"/>
      </patternFill>
    </fill>
    <fill>
      <patternFill patternType="solid">
        <fgColor rgb="FF6A1B9A"/>
        <bgColor rgb="FF800080"/>
      </patternFill>
    </fill>
    <fill>
      <patternFill patternType="solid">
        <fgColor rgb="FFD4A843"/>
        <bgColor rgb="FFF57F17"/>
      </patternFill>
    </fill>
    <fill>
      <patternFill patternType="solid">
        <fgColor rgb="FFE8F5E9"/>
        <bgColor rgb="FFE0F2F1"/>
      </patternFill>
    </fill>
    <fill>
      <patternFill patternType="solid">
        <fgColor rgb="FFE0F2F1"/>
        <bgColor rgb="FFE3F2FD"/>
      </patternFill>
    </fill>
    <fill>
      <patternFill patternType="solid">
        <fgColor rgb="FFE3F2FD"/>
        <bgColor rgb="FFE0F2F1"/>
      </patternFill>
    </fill>
    <fill>
      <patternFill patternType="solid">
        <fgColor rgb="FFFFF2CC"/>
        <bgColor rgb="FFFFF3E0"/>
      </patternFill>
    </fill>
    <fill>
      <patternFill patternType="solid">
        <fgColor rgb="FF1B5E20"/>
        <bgColor rgb="FF2E7D32"/>
      </patternFill>
    </fill>
    <fill>
      <patternFill patternType="solid">
        <fgColor rgb="FFC62828"/>
        <bgColor rgb="FFE65100"/>
      </patternFill>
    </fill>
    <fill>
      <patternFill patternType="solid">
        <fgColor rgb="FF1F4E79"/>
      </patternFill>
    </fill>
    <fill>
      <patternFill patternType="solid">
        <fgColor rgb="FFFFEB9C"/>
      </patternFill>
    </fill>
    <fill>
      <patternFill patternType="solid">
        <fgColor rgb="FFF5F5F5"/>
      </patternFill>
    </fill>
    <fill>
      <patternFill patternType="solid">
        <fgColor rgb="FFFCE4D6"/>
      </patternFill>
    </fill>
    <fill>
      <patternFill patternType="solid">
        <fgColor rgb="FFC6EFCE"/>
      </patternFill>
    </fill>
  </fills>
  <borders count="6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  <border>
      <left/>
      <right/>
      <top style="double">
        <color rgb="FF0D1B2A"/>
      </top>
      <bottom style="double">
        <color rgb="FF0D1B2A"/>
      </bottom>
      <diagonal/>
    </border>
    <border>
      <left/>
      <right/>
      <top style="thin">
        <color rgb="FFCFD8DC"/>
      </top>
      <bottom style="thin">
        <color rgb="FFCFD8DC"/>
      </bottom>
      <diagonal/>
    </border>
    <border>
      <left/>
      <right style="thin">
        <color rgb="FFCFD8DC"/>
      </right>
      <top style="thin">
        <color rgb="FFCFD8DC"/>
      </top>
      <bottom style="thin">
        <color rgb="FFCFD8DC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7" fillId="6" borderId="1" xfId="0" applyFont="1" applyFill="1" applyBorder="1"/>
    <xf numFmtId="164" fontId="8" fillId="6" borderId="1" xfId="0" applyNumberFormat="1" applyFont="1" applyFill="1" applyBorder="1"/>
    <xf numFmtId="0" fontId="9" fillId="4" borderId="1" xfId="0" applyFont="1" applyFill="1" applyBorder="1"/>
    <xf numFmtId="164" fontId="9" fillId="4" borderId="1" xfId="0" applyNumberFormat="1" applyFont="1" applyFill="1" applyBorder="1"/>
    <xf numFmtId="0" fontId="9" fillId="3" borderId="1" xfId="0" applyFont="1" applyFill="1" applyBorder="1"/>
    <xf numFmtId="164" fontId="9" fillId="3" borderId="1" xfId="0" applyNumberFormat="1" applyFont="1" applyFill="1" applyBorder="1"/>
    <xf numFmtId="0" fontId="6" fillId="2" borderId="0" xfId="0" applyFont="1" applyFill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165" fontId="10" fillId="3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165" fontId="10" fillId="4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/>
    <xf numFmtId="0" fontId="7" fillId="4" borderId="1" xfId="0" applyFont="1" applyFill="1" applyBorder="1"/>
    <xf numFmtId="3" fontId="8" fillId="3" borderId="1" xfId="0" applyNumberFormat="1" applyFont="1" applyFill="1" applyBorder="1" applyAlignment="1">
      <alignment horizontal="center" vertical="center" wrapText="1"/>
    </xf>
    <xf numFmtId="3" fontId="9" fillId="4" borderId="1" xfId="0" applyNumberFormat="1" applyFont="1" applyFill="1" applyBorder="1" applyAlignment="1">
      <alignment horizontal="center" vertical="center" wrapText="1"/>
    </xf>
    <xf numFmtId="3" fontId="9" fillId="3" borderId="1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vertical="center" wrapText="1"/>
    </xf>
    <xf numFmtId="0" fontId="9" fillId="3" borderId="2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vertical="center" wrapText="1"/>
    </xf>
    <xf numFmtId="0" fontId="9" fillId="4" borderId="2" xfId="0" applyFont="1" applyFill="1" applyBorder="1" applyAlignment="1">
      <alignment vertical="center" wrapText="1"/>
    </xf>
    <xf numFmtId="0" fontId="10" fillId="11" borderId="2" xfId="0" applyFont="1" applyFill="1" applyBorder="1" applyAlignment="1">
      <alignment vertical="center" wrapText="1"/>
    </xf>
    <xf numFmtId="0" fontId="14" fillId="12" borderId="2" xfId="0" applyFont="1" applyFill="1" applyBorder="1" applyAlignment="1">
      <alignment vertical="center" wrapText="1"/>
    </xf>
    <xf numFmtId="0" fontId="15" fillId="13" borderId="2" xfId="0" applyFont="1" applyFill="1" applyBorder="1" applyAlignment="1">
      <alignment vertical="center" wrapText="1"/>
    </xf>
    <xf numFmtId="0" fontId="7" fillId="0" borderId="0" xfId="0" applyFont="1"/>
    <xf numFmtId="0" fontId="10" fillId="0" borderId="0" xfId="0" applyFont="1"/>
    <xf numFmtId="0" fontId="14" fillId="0" borderId="0" xfId="0" applyFont="1"/>
    <xf numFmtId="0" fontId="15" fillId="0" borderId="0" xfId="0" applyFont="1"/>
    <xf numFmtId="0" fontId="8" fillId="0" borderId="0" xfId="0" applyFont="1"/>
    <xf numFmtId="0" fontId="10" fillId="3" borderId="2" xfId="0" applyFont="1" applyFill="1" applyBorder="1" applyAlignment="1">
      <alignment vertical="center" wrapText="1"/>
    </xf>
    <xf numFmtId="3" fontId="9" fillId="3" borderId="2" xfId="0" applyNumberFormat="1" applyFont="1" applyFill="1" applyBorder="1" applyAlignment="1">
      <alignment vertical="center" wrapText="1"/>
    </xf>
    <xf numFmtId="0" fontId="10" fillId="4" borderId="2" xfId="0" applyFont="1" applyFill="1" applyBorder="1" applyAlignment="1">
      <alignment vertical="center" wrapText="1"/>
    </xf>
    <xf numFmtId="3" fontId="9" fillId="4" borderId="2" xfId="0" applyNumberFormat="1" applyFont="1" applyFill="1" applyBorder="1" applyAlignment="1">
      <alignment vertical="center" wrapText="1"/>
    </xf>
    <xf numFmtId="0" fontId="17" fillId="14" borderId="2" xfId="0" applyFont="1" applyFill="1" applyBorder="1" applyAlignment="1">
      <alignment vertical="center" wrapText="1"/>
    </xf>
    <xf numFmtId="0" fontId="8" fillId="6" borderId="2" xfId="0" applyFont="1" applyFill="1" applyBorder="1" applyAlignment="1">
      <alignment vertical="center" wrapText="1"/>
    </xf>
    <xf numFmtId="0" fontId="8" fillId="3" borderId="2" xfId="0" applyFont="1" applyFill="1" applyBorder="1" applyAlignment="1">
      <alignment vertical="center" wrapText="1"/>
    </xf>
    <xf numFmtId="0" fontId="15" fillId="4" borderId="2" xfId="0" applyFont="1" applyFill="1" applyBorder="1" applyAlignment="1">
      <alignment vertical="center" wrapText="1"/>
    </xf>
    <xf numFmtId="0" fontId="15" fillId="3" borderId="2" xfId="0" applyFont="1" applyFill="1" applyBorder="1" applyAlignment="1">
      <alignment vertical="center" wrapText="1"/>
    </xf>
    <xf numFmtId="0" fontId="8" fillId="4" borderId="2" xfId="0" applyFont="1" applyFill="1" applyBorder="1" applyAlignment="1">
      <alignment vertical="center" wrapText="1"/>
    </xf>
    <xf numFmtId="0" fontId="18" fillId="4" borderId="2" xfId="0" applyFont="1" applyFill="1" applyBorder="1" applyAlignment="1">
      <alignment vertical="center" wrapText="1"/>
    </xf>
    <xf numFmtId="0" fontId="18" fillId="3" borderId="2" xfId="0" applyFont="1" applyFill="1" applyBorder="1" applyAlignment="1">
      <alignment vertical="center" wrapText="1"/>
    </xf>
    <xf numFmtId="3" fontId="17" fillId="14" borderId="2" xfId="0" applyNumberFormat="1" applyFont="1" applyFill="1" applyBorder="1" applyAlignment="1">
      <alignment vertical="center" wrapText="1"/>
    </xf>
    <xf numFmtId="0" fontId="19" fillId="3" borderId="2" xfId="0" applyFont="1" applyFill="1" applyBorder="1" applyAlignment="1">
      <alignment vertical="center" wrapText="1"/>
    </xf>
    <xf numFmtId="0" fontId="19" fillId="4" borderId="2" xfId="0" applyFont="1" applyFill="1" applyBorder="1" applyAlignment="1">
      <alignment vertical="center" wrapText="1"/>
    </xf>
    <xf numFmtId="166" fontId="9" fillId="3" borderId="2" xfId="0" applyNumberFormat="1" applyFont="1" applyFill="1" applyBorder="1" applyAlignment="1">
      <alignment vertical="center" wrapText="1"/>
    </xf>
    <xf numFmtId="166" fontId="9" fillId="4" borderId="2" xfId="0" applyNumberFormat="1" applyFont="1" applyFill="1" applyBorder="1" applyAlignment="1">
      <alignment vertical="center" wrapText="1"/>
    </xf>
    <xf numFmtId="0" fontId="20" fillId="3" borderId="2" xfId="0" applyFont="1" applyFill="1" applyBorder="1" applyAlignment="1">
      <alignment vertical="center" wrapText="1"/>
    </xf>
    <xf numFmtId="0" fontId="20" fillId="4" borderId="2" xfId="0" applyFont="1" applyFill="1" applyBorder="1" applyAlignment="1">
      <alignment vertical="center" wrapText="1"/>
    </xf>
    <xf numFmtId="0" fontId="21" fillId="3" borderId="2" xfId="0" applyFont="1" applyFill="1" applyBorder="1" applyAlignment="1">
      <alignment vertical="center" wrapText="1"/>
    </xf>
    <xf numFmtId="0" fontId="21" fillId="4" borderId="2" xfId="0" applyFont="1" applyFill="1" applyBorder="1" applyAlignment="1">
      <alignment vertical="center" wrapText="1"/>
    </xf>
    <xf numFmtId="0" fontId="25" fillId="6" borderId="2" xfId="0" applyFont="1" applyFill="1" applyBorder="1" applyAlignment="1">
      <alignment vertical="center" wrapText="1"/>
    </xf>
    <xf numFmtId="0" fontId="7" fillId="6" borderId="2" xfId="0" applyFont="1" applyFill="1" applyBorder="1" applyAlignment="1">
      <alignment vertical="center" wrapText="1"/>
    </xf>
    <xf numFmtId="3" fontId="7" fillId="6" borderId="2" xfId="0" applyNumberFormat="1" applyFont="1" applyFill="1" applyBorder="1" applyAlignment="1">
      <alignment vertical="center" wrapText="1"/>
    </xf>
    <xf numFmtId="0" fontId="26" fillId="6" borderId="2" xfId="0" applyFont="1" applyFill="1" applyBorder="1" applyAlignment="1">
      <alignment vertical="center" wrapText="1"/>
    </xf>
    <xf numFmtId="0" fontId="26" fillId="4" borderId="2" xfId="0" applyFont="1" applyFill="1" applyBorder="1" applyAlignment="1">
      <alignment vertical="center" wrapText="1"/>
    </xf>
    <xf numFmtId="0" fontId="26" fillId="3" borderId="2" xfId="0" applyFont="1" applyFill="1" applyBorder="1" applyAlignment="1">
      <alignment vertical="center" wrapText="1"/>
    </xf>
    <xf numFmtId="0" fontId="27" fillId="3" borderId="2" xfId="0" applyFont="1" applyFill="1" applyBorder="1" applyAlignment="1">
      <alignment vertical="center" wrapText="1"/>
    </xf>
    <xf numFmtId="0" fontId="27" fillId="4" borderId="2" xfId="0" applyFont="1" applyFill="1" applyBorder="1" applyAlignment="1">
      <alignment vertical="center" wrapText="1"/>
    </xf>
    <xf numFmtId="0" fontId="22" fillId="4" borderId="2" xfId="0" applyFont="1" applyFill="1" applyBorder="1" applyAlignment="1">
      <alignment vertical="center" wrapText="1"/>
    </xf>
    <xf numFmtId="0" fontId="22" fillId="3" borderId="2" xfId="0" applyFont="1" applyFill="1" applyBorder="1" applyAlignment="1">
      <alignment vertical="center" wrapText="1"/>
    </xf>
    <xf numFmtId="0" fontId="7" fillId="0" borderId="3" xfId="0" applyFont="1" applyBorder="1"/>
    <xf numFmtId="0" fontId="0" fillId="0" borderId="3" xfId="0" applyBorder="1"/>
    <xf numFmtId="3" fontId="7" fillId="0" borderId="3" xfId="0" applyNumberFormat="1" applyFont="1" applyBorder="1"/>
    <xf numFmtId="0" fontId="14" fillId="3" borderId="2" xfId="0" applyFont="1" applyFill="1" applyBorder="1" applyAlignment="1">
      <alignment vertical="center" wrapText="1"/>
    </xf>
    <xf numFmtId="0" fontId="14" fillId="4" borderId="2" xfId="0" applyFont="1" applyFill="1" applyBorder="1" applyAlignment="1">
      <alignment vertical="center" wrapText="1"/>
    </xf>
    <xf numFmtId="0" fontId="29" fillId="3" borderId="2" xfId="0" applyFont="1" applyFill="1" applyBorder="1" applyAlignment="1">
      <alignment vertical="center" wrapText="1"/>
    </xf>
    <xf numFmtId="0" fontId="29" fillId="4" borderId="2" xfId="0" applyFont="1" applyFill="1" applyBorder="1" applyAlignment="1">
      <alignment vertical="center" wrapText="1"/>
    </xf>
    <xf numFmtId="0" fontId="30" fillId="3" borderId="2" xfId="0" applyFont="1" applyFill="1" applyBorder="1" applyAlignment="1">
      <alignment vertical="center" wrapText="1"/>
    </xf>
    <xf numFmtId="0" fontId="30" fillId="4" borderId="2" xfId="0" applyFont="1" applyFill="1" applyBorder="1" applyAlignment="1">
      <alignment vertical="center" wrapText="1"/>
    </xf>
    <xf numFmtId="0" fontId="33" fillId="17" borderId="0" xfId="0" applyFont="1" applyFill="1" applyAlignment="1">
      <alignment horizontal="center" vertical="center" wrapText="1"/>
    </xf>
    <xf numFmtId="0" fontId="0" fillId="19" borderId="0" xfId="0" applyFill="1" applyAlignment="1">
      <alignment vertical="center" wrapText="1"/>
    </xf>
    <xf numFmtId="0" fontId="0" fillId="18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20" borderId="0" xfId="0" applyFill="1" applyAlignment="1">
      <alignment vertical="center" wrapText="1"/>
    </xf>
    <xf numFmtId="0" fontId="0" fillId="21" borderId="0" xfId="0" applyFill="1" applyAlignment="1">
      <alignment vertical="center" wrapText="1"/>
    </xf>
    <xf numFmtId="0" fontId="34" fillId="0" borderId="0" xfId="0" applyFont="1"/>
    <xf numFmtId="0" fontId="32" fillId="0" borderId="0" xfId="0" applyFont="1"/>
    <xf numFmtId="0" fontId="12" fillId="0" borderId="0" xfId="0" applyFont="1"/>
    <xf numFmtId="0" fontId="0" fillId="0" borderId="0" xfId="0"/>
    <xf numFmtId="0" fontId="3" fillId="16" borderId="0" xfId="0" applyFont="1" applyFill="1" applyAlignment="1">
      <alignment horizontal="center" vertical="center" wrapText="1"/>
    </xf>
    <xf numFmtId="0" fontId="28" fillId="0" borderId="0" xfId="0" applyFont="1"/>
    <xf numFmtId="0" fontId="3" fillId="2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13" fillId="0" borderId="0" xfId="0" applyFont="1"/>
    <xf numFmtId="0" fontId="3" fillId="7" borderId="0" xfId="0" applyFont="1" applyFill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0" fontId="2" fillId="0" borderId="0" xfId="0" applyFont="1"/>
    <xf numFmtId="0" fontId="3" fillId="10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32" fillId="0" borderId="0" xfId="0" applyFont="1" applyAlignment="1">
      <alignment horizontal="center"/>
    </xf>
    <xf numFmtId="0" fontId="31" fillId="17" borderId="0" xfId="0" applyFont="1" applyFill="1" applyAlignment="1">
      <alignment horizontal="center" vertical="center"/>
    </xf>
    <xf numFmtId="0" fontId="16" fillId="0" borderId="0" xfId="0" applyFont="1"/>
    <xf numFmtId="0" fontId="3" fillId="15" borderId="0" xfId="0" applyFont="1" applyFill="1" applyAlignment="1">
      <alignment horizontal="center" vertical="center" wrapText="1"/>
    </xf>
    <xf numFmtId="0" fontId="22" fillId="0" borderId="0" xfId="0" applyFont="1"/>
    <xf numFmtId="0" fontId="23" fillId="7" borderId="0" xfId="0" applyFont="1" applyFill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1" fillId="0" borderId="0" xfId="0" applyFont="1"/>
    <xf numFmtId="0" fontId="9" fillId="4" borderId="2" xfId="0" applyFont="1" applyFill="1" applyBorder="1" applyAlignment="1">
      <alignment vertical="center" wrapText="1"/>
    </xf>
    <xf numFmtId="0" fontId="0" fillId="0" borderId="4" xfId="0" applyBorder="1"/>
    <xf numFmtId="0" fontId="0" fillId="0" borderId="5" xfId="0" applyBorder="1"/>
    <xf numFmtId="0" fontId="9" fillId="3" borderId="2" xfId="0" applyFont="1" applyFill="1" applyBorder="1" applyAlignment="1">
      <alignment vertical="center" wrapText="1"/>
    </xf>
    <xf numFmtId="2" fontId="17" fillId="14" borderId="2" xfId="0" applyNumberFormat="1" applyFont="1" applyFill="1" applyBorder="1" applyAlignment="1">
      <alignment vertical="center" wrapText="1"/>
    </xf>
    <xf numFmtId="2" fontId="0" fillId="0" borderId="0" xfId="0" applyNumberFormat="1"/>
    <xf numFmtId="2" fontId="9" fillId="3" borderId="2" xfId="0" applyNumberFormat="1" applyFont="1" applyFill="1" applyBorder="1" applyAlignment="1">
      <alignment vertical="center" wrapText="1"/>
    </xf>
    <xf numFmtId="2" fontId="9" fillId="4" borderId="2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4">
    <dxf>
      <font>
        <b/>
        <color rgb="FFE65100"/>
      </font>
      <fill>
        <patternFill>
          <bgColor rgb="FFFFF3E0"/>
        </patternFill>
      </fill>
    </dxf>
    <dxf>
      <font>
        <b/>
        <color rgb="FFF57F17"/>
      </font>
      <fill>
        <patternFill>
          <bgColor rgb="FFFFF8E1"/>
        </patternFill>
      </fill>
    </dxf>
    <dxf>
      <font>
        <b/>
        <color rgb="FF2E7D32"/>
      </font>
      <fill>
        <patternFill>
          <bgColor rgb="FFE8F5E9"/>
        </patternFill>
      </fill>
    </dxf>
    <dxf>
      <font>
        <b/>
        <color rgb="FF2E7D32"/>
      </font>
      <fill>
        <patternFill>
          <bgColor rgb="FFE8F5E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A67C2E"/>
      <rgbColor rgb="FF6A1B9A"/>
      <rgbColor rgb="FF00897B"/>
      <rgbColor rgb="FFB3B3B3"/>
      <rgbColor rgb="FF78909C"/>
      <rgbColor rgb="FF9999FF"/>
      <rgbColor rgb="FF9C27B0"/>
      <rgbColor rgb="FFFFF8E1"/>
      <rgbColor rgb="FFE0F2F1"/>
      <rgbColor rgb="FF660066"/>
      <rgbColor rgb="FFFF8080"/>
      <rgbColor rgb="FF1565C0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2FD"/>
      <rgbColor rgb="FFE8F5E9"/>
      <rgbColor rgb="FFFFF2CC"/>
      <rgbColor rgb="FFCFD8DC"/>
      <rgbColor rgb="FFFFF3E0"/>
      <rgbColor rgb="FFF5F7FA"/>
      <rgbColor rgb="FFD9D9D9"/>
      <rgbColor rgb="FF3366FF"/>
      <rgbColor rgb="FF33CCCC"/>
      <rgbColor rgb="FF99CC00"/>
      <rgbColor rgb="FFD4A843"/>
      <rgbColor rgb="FFF57F17"/>
      <rgbColor rgb="FFE65100"/>
      <rgbColor rgb="FF4F81BD"/>
      <rgbColor rgb="FF66BB6A"/>
      <rgbColor rgb="FF003366"/>
      <rgbColor rgb="FF2E7D32"/>
      <rgbColor rgb="FF0D1B2A"/>
      <rgbColor rgb="FF333300"/>
      <rgbColor rgb="FF7B3F00"/>
      <rgbColor rgb="FFC62828"/>
      <rgbColor rgb="FF333399"/>
      <rgbColor rgb="FF3747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Top 10 Dubai Developers — 2025 Sales (AED Billions)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'Analytics Dashboard'!$C$10</c:f>
              <c:strCache>
                <c:ptCount val="1"/>
                <c:pt idx="0">
                  <c:v>Sales (AED B)</c:v>
                </c:pt>
              </c:strCache>
            </c:strRef>
          </c:tx>
          <c:spPr>
            <a:solidFill>
              <a:srgbClr val="00897B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'Analytics Dashboard'!$B$11:$B$20</c:f>
              <c:strCache>
                <c:ptCount val="10"/>
                <c:pt idx="0">
                  <c:v>Emaar Properties</c:v>
                </c:pt>
                <c:pt idx="1">
                  <c:v>DAMAC Properties</c:v>
                </c:pt>
                <c:pt idx="2">
                  <c:v>Binghatti</c:v>
                </c:pt>
                <c:pt idx="3">
                  <c:v>Nakheel</c:v>
                </c:pt>
                <c:pt idx="4">
                  <c:v>Sobha Realty</c:v>
                </c:pt>
                <c:pt idx="5">
                  <c:v>Meraas</c:v>
                </c:pt>
                <c:pt idx="6">
                  <c:v>Omniyat</c:v>
                </c:pt>
                <c:pt idx="7">
                  <c:v>Aldar</c:v>
                </c:pt>
                <c:pt idx="8">
                  <c:v>H&amp;H Dev</c:v>
                </c:pt>
                <c:pt idx="9">
                  <c:v>Danube</c:v>
                </c:pt>
              </c:strCache>
            </c:strRef>
          </c:cat>
          <c:val>
            <c:numRef>
              <c:f>'Analytics Dashboard'!$C$11:$C$20</c:f>
              <c:numCache>
                <c:formatCode>#,##0.0</c:formatCode>
                <c:ptCount val="10"/>
                <c:pt idx="0">
                  <c:v>65.8</c:v>
                </c:pt>
                <c:pt idx="1">
                  <c:v>35.9</c:v>
                </c:pt>
                <c:pt idx="2">
                  <c:v>26</c:v>
                </c:pt>
                <c:pt idx="3">
                  <c:v>24.6</c:v>
                </c:pt>
                <c:pt idx="4">
                  <c:v>22.4</c:v>
                </c:pt>
                <c:pt idx="5">
                  <c:v>20.9</c:v>
                </c:pt>
                <c:pt idx="6">
                  <c:v>11</c:v>
                </c:pt>
                <c:pt idx="7">
                  <c:v>9.9</c:v>
                </c:pt>
                <c:pt idx="8">
                  <c:v>8.1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13-46DF-B291-8AF41ECB5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265244"/>
        <c:axId val="27183922"/>
      </c:barChart>
      <c:catAx>
        <c:axId val="6726524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Sales Value (AED Billions)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183922"/>
        <c:crosses val="autoZero"/>
        <c:auto val="1"/>
        <c:lblAlgn val="ctr"/>
        <c:lblOffset val="100"/>
        <c:noMultiLvlLbl val="0"/>
      </c:catAx>
      <c:valAx>
        <c:axId val="27183922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numFmt formatCode="#,##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265244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Project Handovers by Year (Branded vs Standard)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'Analytics Dashboard'!$C$24</c:f>
              <c:strCache>
                <c:ptCount val="1"/>
                <c:pt idx="0">
                  <c:v>Standard</c:v>
                </c:pt>
              </c:strCache>
            </c:strRef>
          </c:tx>
          <c:spPr>
            <a:solidFill>
              <a:srgbClr val="00897B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'Analytics Dashboard'!$B$25:$B$28</c:f>
              <c:strCache>
                <c:ptCount val="4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</c:strCache>
            </c:strRef>
          </c:cat>
          <c:val>
            <c:numRef>
              <c:f>'Analytics Dashboard'!$C$25:$C$28</c:f>
              <c:numCache>
                <c:formatCode>General</c:formatCode>
                <c:ptCount val="4"/>
                <c:pt idx="0">
                  <c:v>5</c:v>
                </c:pt>
                <c:pt idx="1">
                  <c:v>7</c:v>
                </c:pt>
                <c:pt idx="2">
                  <c:v>7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41-4915-B5AB-0E83DF3C7A35}"/>
            </c:ext>
          </c:extLst>
        </c:ser>
        <c:ser>
          <c:idx val="1"/>
          <c:order val="1"/>
          <c:tx>
            <c:strRef>
              <c:f>'Analytics Dashboard'!$D$24</c:f>
              <c:strCache>
                <c:ptCount val="1"/>
                <c:pt idx="0">
                  <c:v>Branded</c:v>
                </c:pt>
              </c:strCache>
            </c:strRef>
          </c:tx>
          <c:spPr>
            <a:solidFill>
              <a:srgbClr val="D4A843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'Analytics Dashboard'!$B$25:$B$28</c:f>
              <c:strCache>
                <c:ptCount val="4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</c:strCache>
            </c:strRef>
          </c:cat>
          <c:val>
            <c:numRef>
              <c:f>'Analytics Dashboard'!$D$25:$D$28</c:f>
              <c:numCache>
                <c:formatCode>General</c:formatCode>
                <c:ptCount val="4"/>
                <c:pt idx="0">
                  <c:v>3</c:v>
                </c:pt>
                <c:pt idx="1">
                  <c:v>0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41-4915-B5AB-0E83DF3C7A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7477920"/>
        <c:axId val="60760613"/>
      </c:barChart>
      <c:catAx>
        <c:axId val="674779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760613"/>
        <c:crosses val="autoZero"/>
        <c:auto val="1"/>
        <c:lblAlgn val="ctr"/>
        <c:lblOffset val="100"/>
        <c:noMultiLvlLbl val="0"/>
      </c:catAx>
      <c:valAx>
        <c:axId val="6076061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477920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Average Gross Yield by Community (%)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'Analytics Dashboard'!$C$31</c:f>
              <c:strCache>
                <c:ptCount val="1"/>
                <c:pt idx="0">
                  <c:v>Avg Yield %</c:v>
                </c:pt>
              </c:strCache>
            </c:strRef>
          </c:tx>
          <c:spPr>
            <a:solidFill>
              <a:srgbClr val="1565C0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'Analytics Dashboard'!$B$32:$B$39</c:f>
              <c:strCache>
                <c:ptCount val="8"/>
                <c:pt idx="0">
                  <c:v>Emaar South</c:v>
                </c:pt>
                <c:pt idx="1">
                  <c:v>The Valley</c:v>
                </c:pt>
                <c:pt idx="2">
                  <c:v>Dubai Hills Estate</c:v>
                </c:pt>
                <c:pt idx="3">
                  <c:v>Dubai Creek Harbour</c:v>
                </c:pt>
                <c:pt idx="4">
                  <c:v>Rashid Yachts &amp; Marina</c:v>
                </c:pt>
                <c:pt idx="5">
                  <c:v>Downtown/Business Bay</c:v>
                </c:pt>
                <c:pt idx="6">
                  <c:v>Emaar Beachfront</c:v>
                </c:pt>
                <c:pt idx="7">
                  <c:v>The Oasis</c:v>
                </c:pt>
              </c:strCache>
            </c:strRef>
          </c:cat>
          <c:val>
            <c:numRef>
              <c:f>'Analytics Dashboard'!$C$32:$C$39</c:f>
              <c:numCache>
                <c:formatCode>0.0\%</c:formatCode>
                <c:ptCount val="8"/>
                <c:pt idx="0">
                  <c:v>6.5</c:v>
                </c:pt>
                <c:pt idx="1">
                  <c:v>5.9</c:v>
                </c:pt>
                <c:pt idx="2">
                  <c:v>5</c:v>
                </c:pt>
                <c:pt idx="3">
                  <c:v>4.8</c:v>
                </c:pt>
                <c:pt idx="4">
                  <c:v>5</c:v>
                </c:pt>
                <c:pt idx="5">
                  <c:v>3.7</c:v>
                </c:pt>
                <c:pt idx="6">
                  <c:v>3.7</c:v>
                </c:pt>
                <c:pt idx="7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C7-4623-9683-074BFE6245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470539"/>
        <c:axId val="31721146"/>
      </c:barChart>
      <c:catAx>
        <c:axId val="3447053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Gross Yield %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721146"/>
        <c:crosses val="autoZero"/>
        <c:auto val="1"/>
        <c:lblAlgn val="ctr"/>
        <c:lblOffset val="100"/>
        <c:noMultiLvlLbl val="0"/>
      </c:catAx>
      <c:valAx>
        <c:axId val="31721146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numFmt formatCode="0.0\%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470539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Projects by Investment Tier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'Analytics Dashboard'!$C$42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  <a:prstDash val="solid"/>
            </a:ln>
          </c:spPr>
          <c:dPt>
            <c:idx val="0"/>
            <c:bubble3D val="0"/>
            <c:spPr>
              <a:solidFill>
                <a:srgbClr val="00897B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21E-46FF-B4A2-E2533D9C1F56}"/>
              </c:ext>
            </c:extLst>
          </c:dPt>
          <c:dPt>
            <c:idx val="1"/>
            <c:bubble3D val="0"/>
            <c:spPr>
              <a:solidFill>
                <a:srgbClr val="1565C0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21E-46FF-B4A2-E2533D9C1F56}"/>
              </c:ext>
            </c:extLst>
          </c:dPt>
          <c:dPt>
            <c:idx val="2"/>
            <c:bubble3D val="0"/>
            <c:spPr>
              <a:solidFill>
                <a:srgbClr val="6A1B9A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21E-46FF-B4A2-E2533D9C1F56}"/>
              </c:ext>
            </c:extLst>
          </c:dPt>
          <c:dPt>
            <c:idx val="3"/>
            <c:bubble3D val="0"/>
            <c:spPr>
              <a:solidFill>
                <a:srgbClr val="9C27B0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21E-46FF-B4A2-E2533D9C1F56}"/>
              </c:ext>
            </c:extLst>
          </c:dPt>
          <c:dPt>
            <c:idx val="4"/>
            <c:bubble3D val="0"/>
            <c:spPr>
              <a:solidFill>
                <a:srgbClr val="D4A843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21E-46FF-B4A2-E2533D9C1F56}"/>
              </c:ext>
            </c:extLst>
          </c:dPt>
          <c:dPt>
            <c:idx val="5"/>
            <c:bubble3D val="0"/>
            <c:spPr>
              <a:solidFill>
                <a:srgbClr val="A67C2E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421E-46FF-B4A2-E2533D9C1F56}"/>
              </c:ext>
            </c:extLst>
          </c:dPt>
          <c:dPt>
            <c:idx val="6"/>
            <c:bubble3D val="0"/>
            <c:spPr>
              <a:solidFill>
                <a:srgbClr val="66BB6A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421E-46FF-B4A2-E2533D9C1F56}"/>
              </c:ext>
            </c:extLst>
          </c:dPt>
          <c:dPt>
            <c:idx val="7"/>
            <c:bubble3D val="0"/>
            <c:spPr>
              <a:solidFill>
                <a:srgbClr val="2E7D32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421E-46FF-B4A2-E2533D9C1F56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421E-46FF-B4A2-E2533D9C1F56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421E-46FF-B4A2-E2533D9C1F56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421E-46FF-B4A2-E2533D9C1F56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421E-46FF-B4A2-E2533D9C1F56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421E-46FF-B4A2-E2533D9C1F56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421E-46FF-B4A2-E2533D9C1F56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D-421E-46FF-B4A2-E2533D9C1F56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F-421E-46FF-B4A2-E2533D9C1F5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'Analytics Dashboard'!$B$43:$B$50</c:f>
              <c:strCache>
                <c:ptCount val="8"/>
                <c:pt idx="0">
                  <c:v>Mid-Premium</c:v>
                </c:pt>
                <c:pt idx="1">
                  <c:v>Premium</c:v>
                </c:pt>
                <c:pt idx="2">
                  <c:v>Ultra-Luxury</c:v>
                </c:pt>
                <c:pt idx="3">
                  <c:v>Ultra-Luxury Branded</c:v>
                </c:pt>
                <c:pt idx="4">
                  <c:v>Luxury Branded</c:v>
                </c:pt>
                <c:pt idx="5">
                  <c:v>Luxury</c:v>
                </c:pt>
                <c:pt idx="6">
                  <c:v>Mid-Market</c:v>
                </c:pt>
                <c:pt idx="7">
                  <c:v>Affordable</c:v>
                </c:pt>
              </c:strCache>
            </c:strRef>
          </c:cat>
          <c:val>
            <c:numRef>
              <c:f>'Analytics Dashboard'!$C$43:$C$50</c:f>
              <c:numCache>
                <c:formatCode>General</c:formatCode>
                <c:ptCount val="8"/>
                <c:pt idx="0">
                  <c:v>15</c:v>
                </c:pt>
                <c:pt idx="1">
                  <c:v>9</c:v>
                </c:pt>
                <c:pt idx="2">
                  <c:v>7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21E-46FF-B4A2-E2533D9C1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Average Price per Sqft by Community (AED)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'Analytics Dashboard'!$C$53</c:f>
              <c:strCache>
                <c:ptCount val="1"/>
                <c:pt idx="0">
                  <c:v>Avg AED/sqft</c:v>
                </c:pt>
              </c:strCache>
            </c:strRef>
          </c:tx>
          <c:spPr>
            <a:solidFill>
              <a:srgbClr val="D4A843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'Analytics Dashboard'!$B$54:$B$61</c:f>
              <c:strCache>
                <c:ptCount val="8"/>
                <c:pt idx="0">
                  <c:v>Emaar Beachfront</c:v>
                </c:pt>
                <c:pt idx="1">
                  <c:v>Rashid Yachts &amp; Marina</c:v>
                </c:pt>
                <c:pt idx="2">
                  <c:v>Emaar South</c:v>
                </c:pt>
                <c:pt idx="3">
                  <c:v>Dubai Creek Harbour</c:v>
                </c:pt>
                <c:pt idx="4">
                  <c:v>Dubai Hills Estate</c:v>
                </c:pt>
                <c:pt idx="5">
                  <c:v>The Oasis</c:v>
                </c:pt>
                <c:pt idx="6">
                  <c:v>Grand Polo Club</c:v>
                </c:pt>
                <c:pt idx="7">
                  <c:v>The Valley</c:v>
                </c:pt>
              </c:strCache>
            </c:strRef>
          </c:cat>
          <c:val>
            <c:numRef>
              <c:f>'Analytics Dashboard'!$C$54:$C$61</c:f>
              <c:numCache>
                <c:formatCode>#,##0</c:formatCode>
                <c:ptCount val="8"/>
                <c:pt idx="0">
                  <c:v>4150</c:v>
                </c:pt>
                <c:pt idx="1">
                  <c:v>3000</c:v>
                </c:pt>
                <c:pt idx="2">
                  <c:v>2827</c:v>
                </c:pt>
                <c:pt idx="3">
                  <c:v>2600</c:v>
                </c:pt>
                <c:pt idx="4">
                  <c:v>2400</c:v>
                </c:pt>
                <c:pt idx="5">
                  <c:v>1921</c:v>
                </c:pt>
                <c:pt idx="6">
                  <c:v>1775</c:v>
                </c:pt>
                <c:pt idx="7">
                  <c:v>1117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3F-460D-873C-2DB1ECC79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466422"/>
        <c:axId val="32950008"/>
      </c:barChart>
      <c:catAx>
        <c:axId val="41466422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950008"/>
        <c:crosses val="autoZero"/>
        <c:auto val="1"/>
        <c:lblAlgn val="ctr"/>
        <c:lblOffset val="100"/>
        <c:noMultiLvlLbl val="0"/>
      </c:catAx>
      <c:valAx>
        <c:axId val="32950008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466422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Top 10 Developer Sales — 2025 (AED Billions)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'Market Positioning'!$C$4</c:f>
              <c:strCache>
                <c:ptCount val="1"/>
                <c:pt idx="0">
                  <c:v>Sales Value (AED)</c:v>
                </c:pt>
              </c:strCache>
            </c:strRef>
          </c:tx>
          <c:spPr>
            <a:solidFill>
              <a:srgbClr val="00897B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'Market Positioning'!$B$5:$B$14</c:f>
              <c:strCache>
                <c:ptCount val="10"/>
                <c:pt idx="0">
                  <c:v>Emaar Properties</c:v>
                </c:pt>
                <c:pt idx="1">
                  <c:v>DAMAC Properties</c:v>
                </c:pt>
                <c:pt idx="2">
                  <c:v>Binghatti Developers</c:v>
                </c:pt>
                <c:pt idx="3">
                  <c:v>Nakheel (Dubai Holding)</c:v>
                </c:pt>
                <c:pt idx="4">
                  <c:v>Sobha Realty</c:v>
                </c:pt>
                <c:pt idx="5">
                  <c:v>Meraas (Dubai Holding)</c:v>
                </c:pt>
                <c:pt idx="6">
                  <c:v>Omniyat</c:v>
                </c:pt>
                <c:pt idx="7">
                  <c:v>Aldar Properties</c:v>
                </c:pt>
                <c:pt idx="8">
                  <c:v>H&amp;H Development</c:v>
                </c:pt>
                <c:pt idx="9">
                  <c:v>Danube Properties</c:v>
                </c:pt>
              </c:strCache>
            </c:strRef>
          </c:cat>
          <c:val>
            <c:numRef>
              <c:f>'Market Positioning'!$C$5:$C$14</c:f>
              <c:numCache>
                <c:formatCode>#,##0</c:formatCode>
                <c:ptCount val="10"/>
                <c:pt idx="0">
                  <c:v>65800000000</c:v>
                </c:pt>
                <c:pt idx="1">
                  <c:v>35900000000</c:v>
                </c:pt>
                <c:pt idx="2">
                  <c:v>26000000000</c:v>
                </c:pt>
                <c:pt idx="3">
                  <c:v>24600000000</c:v>
                </c:pt>
                <c:pt idx="4">
                  <c:v>22400000000</c:v>
                </c:pt>
                <c:pt idx="5">
                  <c:v>20900000000</c:v>
                </c:pt>
                <c:pt idx="6">
                  <c:v>11000000000</c:v>
                </c:pt>
                <c:pt idx="7">
                  <c:v>9900000000</c:v>
                </c:pt>
                <c:pt idx="8">
                  <c:v>8100000000</c:v>
                </c:pt>
                <c:pt idx="9">
                  <c:v>7000000000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08-4ECF-A573-B2981D8DC0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503946"/>
        <c:axId val="64021540"/>
      </c:barChart>
      <c:catAx>
        <c:axId val="2150394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Sales Value (AED)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021540"/>
        <c:crosses val="autoZero"/>
        <c:auto val="1"/>
        <c:lblAlgn val="ctr"/>
        <c:lblOffset val="100"/>
        <c:noMultiLvlLbl val="0"/>
      </c:catAx>
      <c:valAx>
        <c:axId val="64021540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503946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8</xdr:row>
      <xdr:rowOff>0</xdr:rowOff>
    </xdr:from>
    <xdr:to>
      <xdr:col>15</xdr:col>
      <xdr:colOff>295560</xdr:colOff>
      <xdr:row>32</xdr:row>
      <xdr:rowOff>67320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22</xdr:row>
      <xdr:rowOff>0</xdr:rowOff>
    </xdr:from>
    <xdr:to>
      <xdr:col>10</xdr:col>
      <xdr:colOff>473040</xdr:colOff>
      <xdr:row>43</xdr:row>
      <xdr:rowOff>37800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29</xdr:row>
      <xdr:rowOff>0</xdr:rowOff>
    </xdr:from>
    <xdr:to>
      <xdr:col>14</xdr:col>
      <xdr:colOff>187200</xdr:colOff>
      <xdr:row>52</xdr:row>
      <xdr:rowOff>135000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40</xdr:row>
      <xdr:rowOff>0</xdr:rowOff>
    </xdr:from>
    <xdr:to>
      <xdr:col>11</xdr:col>
      <xdr:colOff>581400</xdr:colOff>
      <xdr:row>64</xdr:row>
      <xdr:rowOff>77760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0</xdr:colOff>
      <xdr:row>50</xdr:row>
      <xdr:rowOff>175680</xdr:rowOff>
    </xdr:from>
    <xdr:to>
      <xdr:col>14</xdr:col>
      <xdr:colOff>187200</xdr:colOff>
      <xdr:row>75</xdr:row>
      <xdr:rowOff>78120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47</xdr:row>
      <xdr:rowOff>0</xdr:rowOff>
    </xdr:from>
    <xdr:to>
      <xdr:col>9</xdr:col>
      <xdr:colOff>493200</xdr:colOff>
      <xdr:row>76</xdr:row>
      <xdr:rowOff>151200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4A843"/>
  </sheetPr>
  <dimension ref="B1:I63"/>
  <sheetViews>
    <sheetView zoomScaleNormal="100" workbookViewId="0">
      <pane xSplit="1" ySplit="3" topLeftCell="B6" activePane="bottomRight" state="frozen"/>
      <selection pane="topRight" activeCell="B1" sqref="B1"/>
      <selection pane="bottomLeft" activeCell="A6" sqref="A6"/>
      <selection pane="bottomRight" activeCell="D68" sqref="D68"/>
    </sheetView>
  </sheetViews>
  <sheetFormatPr defaultColWidth="8.6640625" defaultRowHeight="14.4" x14ac:dyDescent="0.3"/>
  <cols>
    <col min="1" max="1" width="3" customWidth="1"/>
    <col min="2" max="2" width="22" customWidth="1"/>
    <col min="3" max="9" width="18" customWidth="1"/>
    <col min="10" max="10" width="3" customWidth="1"/>
  </cols>
  <sheetData>
    <row r="1" spans="2:9" ht="42" customHeight="1" x14ac:dyDescent="0.3">
      <c r="B1" s="97" t="s">
        <v>54</v>
      </c>
      <c r="C1" s="85"/>
      <c r="D1" s="85"/>
      <c r="E1" s="85"/>
      <c r="F1" s="85"/>
      <c r="G1" s="85"/>
      <c r="H1" s="85"/>
      <c r="I1" s="85"/>
    </row>
    <row r="2" spans="2:9" ht="18" customHeight="1" x14ac:dyDescent="0.3">
      <c r="B2" s="93" t="s">
        <v>55</v>
      </c>
      <c r="C2" s="85"/>
      <c r="D2" s="85"/>
      <c r="E2" s="85"/>
      <c r="F2" s="85"/>
      <c r="G2" s="85"/>
      <c r="H2" s="85"/>
      <c r="I2" s="85"/>
    </row>
    <row r="4" spans="2:9" ht="27.75" customHeight="1" x14ac:dyDescent="0.3">
      <c r="B4" s="88" t="s">
        <v>56</v>
      </c>
      <c r="C4" s="85"/>
      <c r="D4" s="85"/>
      <c r="E4" s="85"/>
      <c r="F4" s="85"/>
      <c r="G4" s="85"/>
      <c r="H4" s="85"/>
      <c r="I4" s="85"/>
    </row>
    <row r="5" spans="2:9" ht="27.75" customHeight="1" x14ac:dyDescent="0.3">
      <c r="B5" s="1" t="s">
        <v>57</v>
      </c>
      <c r="C5" s="1" t="s">
        <v>58</v>
      </c>
      <c r="D5" s="1" t="s">
        <v>59</v>
      </c>
      <c r="E5" s="1" t="s">
        <v>60</v>
      </c>
      <c r="F5" s="1" t="s">
        <v>61</v>
      </c>
      <c r="G5" s="1" t="s">
        <v>62</v>
      </c>
      <c r="H5" s="1" t="s">
        <v>63</v>
      </c>
      <c r="I5" s="1" t="s">
        <v>64</v>
      </c>
    </row>
    <row r="6" spans="2:9" ht="27.75" customHeight="1" x14ac:dyDescent="0.3">
      <c r="B6" s="2" t="s">
        <v>65</v>
      </c>
      <c r="C6" s="2" t="s">
        <v>66</v>
      </c>
      <c r="D6" s="2" t="s">
        <v>67</v>
      </c>
      <c r="E6" s="2" t="s">
        <v>68</v>
      </c>
      <c r="F6" s="2" t="s">
        <v>69</v>
      </c>
      <c r="G6" s="2" t="s">
        <v>70</v>
      </c>
      <c r="H6" s="2" t="s">
        <v>71</v>
      </c>
      <c r="I6" s="2" t="s">
        <v>72</v>
      </c>
    </row>
    <row r="7" spans="2:9" ht="27.75" customHeight="1" x14ac:dyDescent="0.3">
      <c r="B7" s="3" t="s">
        <v>73</v>
      </c>
      <c r="C7" s="3" t="s">
        <v>74</v>
      </c>
      <c r="D7" s="3" t="s">
        <v>75</v>
      </c>
      <c r="E7" s="3" t="s">
        <v>76</v>
      </c>
      <c r="F7" s="3" t="s">
        <v>77</v>
      </c>
      <c r="G7" s="3" t="s">
        <v>78</v>
      </c>
      <c r="H7" s="3" t="s">
        <v>79</v>
      </c>
      <c r="I7" s="3" t="s">
        <v>80</v>
      </c>
    </row>
    <row r="9" spans="2:9" ht="25.5" customHeight="1" x14ac:dyDescent="0.3">
      <c r="B9" s="89" t="s">
        <v>81</v>
      </c>
      <c r="C9" s="85"/>
      <c r="D9" s="85"/>
      <c r="E9" s="85"/>
    </row>
    <row r="10" spans="2:9" ht="14.25" customHeight="1" x14ac:dyDescent="0.3">
      <c r="B10" s="4" t="s">
        <v>82</v>
      </c>
      <c r="C10" s="4" t="s">
        <v>83</v>
      </c>
    </row>
    <row r="11" spans="2:9" ht="14.25" customHeight="1" x14ac:dyDescent="0.3">
      <c r="B11" s="5" t="s">
        <v>84</v>
      </c>
      <c r="C11" s="6">
        <v>65.8</v>
      </c>
    </row>
    <row r="12" spans="2:9" ht="14.25" customHeight="1" x14ac:dyDescent="0.3">
      <c r="B12" s="7" t="s">
        <v>85</v>
      </c>
      <c r="C12" s="8">
        <v>35.9</v>
      </c>
    </row>
    <row r="13" spans="2:9" ht="14.25" customHeight="1" x14ac:dyDescent="0.3">
      <c r="B13" s="9" t="s">
        <v>86</v>
      </c>
      <c r="C13" s="10">
        <v>26</v>
      </c>
    </row>
    <row r="14" spans="2:9" ht="14.25" customHeight="1" x14ac:dyDescent="0.3">
      <c r="B14" s="7" t="s">
        <v>87</v>
      </c>
      <c r="C14" s="8">
        <v>24.6</v>
      </c>
    </row>
    <row r="15" spans="2:9" ht="14.25" customHeight="1" x14ac:dyDescent="0.3">
      <c r="B15" s="9" t="s">
        <v>88</v>
      </c>
      <c r="C15" s="10">
        <v>22.4</v>
      </c>
    </row>
    <row r="16" spans="2:9" ht="14.25" customHeight="1" x14ac:dyDescent="0.3">
      <c r="B16" s="7" t="s">
        <v>89</v>
      </c>
      <c r="C16" s="8">
        <v>20.9</v>
      </c>
    </row>
    <row r="17" spans="2:5" ht="14.25" customHeight="1" x14ac:dyDescent="0.3">
      <c r="B17" s="9" t="s">
        <v>90</v>
      </c>
      <c r="C17" s="10">
        <v>11</v>
      </c>
    </row>
    <row r="18" spans="2:5" ht="14.25" customHeight="1" x14ac:dyDescent="0.3">
      <c r="B18" s="7" t="s">
        <v>91</v>
      </c>
      <c r="C18" s="8">
        <v>9.9</v>
      </c>
    </row>
    <row r="19" spans="2:5" ht="14.25" customHeight="1" x14ac:dyDescent="0.3">
      <c r="B19" s="9" t="s">
        <v>92</v>
      </c>
      <c r="C19" s="10">
        <v>8.1</v>
      </c>
    </row>
    <row r="20" spans="2:5" ht="14.25" customHeight="1" x14ac:dyDescent="0.3">
      <c r="B20" s="7" t="s">
        <v>93</v>
      </c>
      <c r="C20" s="8">
        <v>7</v>
      </c>
    </row>
    <row r="23" spans="2:5" ht="25.5" customHeight="1" x14ac:dyDescent="0.3">
      <c r="B23" s="91" t="s">
        <v>94</v>
      </c>
      <c r="C23" s="85"/>
      <c r="D23" s="85"/>
      <c r="E23" s="85"/>
    </row>
    <row r="24" spans="2:5" ht="14.25" customHeight="1" x14ac:dyDescent="0.3">
      <c r="B24" s="11" t="s">
        <v>95</v>
      </c>
      <c r="C24" s="11" t="s">
        <v>96</v>
      </c>
      <c r="D24" s="11" t="s">
        <v>97</v>
      </c>
      <c r="E24" s="11" t="s">
        <v>98</v>
      </c>
    </row>
    <row r="25" spans="2:5" ht="14.25" customHeight="1" x14ac:dyDescent="0.3">
      <c r="B25" s="12" t="s">
        <v>99</v>
      </c>
      <c r="C25" s="12">
        <v>5</v>
      </c>
      <c r="D25" s="12">
        <v>3</v>
      </c>
      <c r="E25" s="12">
        <v>8</v>
      </c>
    </row>
    <row r="26" spans="2:5" ht="14.25" customHeight="1" x14ac:dyDescent="0.3">
      <c r="B26" s="13" t="s">
        <v>100</v>
      </c>
      <c r="C26" s="13">
        <v>7</v>
      </c>
      <c r="D26" s="13">
        <v>0</v>
      </c>
      <c r="E26" s="13">
        <v>7</v>
      </c>
    </row>
    <row r="27" spans="2:5" ht="14.25" customHeight="1" x14ac:dyDescent="0.3">
      <c r="B27" s="12" t="s">
        <v>101</v>
      </c>
      <c r="C27" s="12">
        <v>7</v>
      </c>
      <c r="D27" s="12">
        <v>3</v>
      </c>
      <c r="E27" s="12">
        <v>10</v>
      </c>
    </row>
    <row r="28" spans="2:5" ht="14.25" customHeight="1" x14ac:dyDescent="0.3">
      <c r="B28" s="13" t="s">
        <v>102</v>
      </c>
      <c r="C28" s="13">
        <v>12</v>
      </c>
      <c r="D28" s="13">
        <v>5</v>
      </c>
      <c r="E28" s="13">
        <v>17</v>
      </c>
    </row>
    <row r="30" spans="2:5" ht="25.5" customHeight="1" x14ac:dyDescent="0.3">
      <c r="B30" s="95" t="s">
        <v>103</v>
      </c>
      <c r="C30" s="85"/>
      <c r="D30" s="85"/>
      <c r="E30" s="85"/>
    </row>
    <row r="31" spans="2:5" ht="14.25" customHeight="1" x14ac:dyDescent="0.3">
      <c r="B31" s="11" t="s">
        <v>104</v>
      </c>
      <c r="C31" s="11" t="s">
        <v>105</v>
      </c>
      <c r="D31" s="11" t="s">
        <v>106</v>
      </c>
      <c r="E31" s="11" t="s">
        <v>107</v>
      </c>
    </row>
    <row r="32" spans="2:5" ht="14.25" customHeight="1" x14ac:dyDescent="0.3">
      <c r="B32" s="14" t="s">
        <v>108</v>
      </c>
      <c r="C32" s="15">
        <v>6.5</v>
      </c>
      <c r="D32" s="12" t="s">
        <v>109</v>
      </c>
      <c r="E32" s="12" t="s">
        <v>110</v>
      </c>
    </row>
    <row r="33" spans="2:5" ht="14.25" customHeight="1" x14ac:dyDescent="0.3">
      <c r="B33" s="16" t="s">
        <v>111</v>
      </c>
      <c r="C33" s="17">
        <v>5.9</v>
      </c>
      <c r="D33" s="13" t="s">
        <v>112</v>
      </c>
      <c r="E33" s="13" t="s">
        <v>113</v>
      </c>
    </row>
    <row r="34" spans="2:5" ht="14.25" customHeight="1" x14ac:dyDescent="0.3">
      <c r="B34" s="14" t="s">
        <v>114</v>
      </c>
      <c r="C34" s="15">
        <v>5</v>
      </c>
      <c r="D34" s="12" t="s">
        <v>109</v>
      </c>
      <c r="E34" s="12" t="s">
        <v>115</v>
      </c>
    </row>
    <row r="35" spans="2:5" ht="14.25" customHeight="1" x14ac:dyDescent="0.3">
      <c r="B35" s="16" t="s">
        <v>116</v>
      </c>
      <c r="C35" s="17">
        <v>4.8</v>
      </c>
      <c r="D35" s="13" t="s">
        <v>117</v>
      </c>
      <c r="E35" s="13" t="s">
        <v>118</v>
      </c>
    </row>
    <row r="36" spans="2:5" ht="14.25" customHeight="1" x14ac:dyDescent="0.3">
      <c r="B36" s="14" t="s">
        <v>119</v>
      </c>
      <c r="C36" s="15">
        <v>5</v>
      </c>
      <c r="D36" s="12" t="s">
        <v>120</v>
      </c>
      <c r="E36" s="12" t="s">
        <v>118</v>
      </c>
    </row>
    <row r="37" spans="2:5" ht="26.25" customHeight="1" x14ac:dyDescent="0.3">
      <c r="B37" s="16" t="s">
        <v>121</v>
      </c>
      <c r="C37" s="17">
        <v>3.7</v>
      </c>
      <c r="D37" s="13" t="s">
        <v>122</v>
      </c>
      <c r="E37" s="13" t="s">
        <v>123</v>
      </c>
    </row>
    <row r="38" spans="2:5" ht="14.25" customHeight="1" x14ac:dyDescent="0.3">
      <c r="B38" s="14" t="s">
        <v>124</v>
      </c>
      <c r="C38" s="15">
        <v>3.7</v>
      </c>
      <c r="D38" s="12" t="s">
        <v>125</v>
      </c>
      <c r="E38" s="12" t="s">
        <v>126</v>
      </c>
    </row>
    <row r="39" spans="2:5" ht="14.25" customHeight="1" x14ac:dyDescent="0.3">
      <c r="B39" s="16" t="s">
        <v>127</v>
      </c>
      <c r="C39" s="17">
        <v>3.5</v>
      </c>
      <c r="D39" s="13" t="s">
        <v>128</v>
      </c>
      <c r="E39" s="13" t="s">
        <v>129</v>
      </c>
    </row>
    <row r="41" spans="2:5" ht="15.75" customHeight="1" x14ac:dyDescent="0.3">
      <c r="B41" s="92" t="s">
        <v>130</v>
      </c>
      <c r="C41" s="85"/>
      <c r="D41" s="85"/>
      <c r="E41" s="85"/>
    </row>
    <row r="42" spans="2:5" ht="14.25" customHeight="1" x14ac:dyDescent="0.3">
      <c r="B42" s="11" t="s">
        <v>131</v>
      </c>
      <c r="C42" s="11" t="s">
        <v>132</v>
      </c>
    </row>
    <row r="43" spans="2:5" ht="14.25" customHeight="1" x14ac:dyDescent="0.3">
      <c r="B43" s="18" t="s">
        <v>133</v>
      </c>
      <c r="C43" s="12">
        <v>15</v>
      </c>
    </row>
    <row r="44" spans="2:5" ht="14.25" customHeight="1" x14ac:dyDescent="0.3">
      <c r="B44" s="19" t="s">
        <v>134</v>
      </c>
      <c r="C44" s="13">
        <v>9</v>
      </c>
    </row>
    <row r="45" spans="2:5" ht="14.25" customHeight="1" x14ac:dyDescent="0.3">
      <c r="B45" s="18" t="s">
        <v>135</v>
      </c>
      <c r="C45" s="12">
        <v>7</v>
      </c>
    </row>
    <row r="46" spans="2:5" ht="14.25" customHeight="1" x14ac:dyDescent="0.3">
      <c r="B46" s="19" t="s">
        <v>136</v>
      </c>
      <c r="C46" s="13">
        <v>5</v>
      </c>
    </row>
    <row r="47" spans="2:5" ht="14.25" customHeight="1" x14ac:dyDescent="0.3">
      <c r="B47" s="18" t="s">
        <v>137</v>
      </c>
      <c r="C47" s="12">
        <v>4</v>
      </c>
    </row>
    <row r="48" spans="2:5" ht="14.25" customHeight="1" x14ac:dyDescent="0.3">
      <c r="B48" s="19" t="s">
        <v>138</v>
      </c>
      <c r="C48" s="13">
        <v>3</v>
      </c>
    </row>
    <row r="49" spans="2:9" ht="14.25" customHeight="1" x14ac:dyDescent="0.3">
      <c r="B49" s="18" t="s">
        <v>139</v>
      </c>
      <c r="C49" s="12">
        <v>2</v>
      </c>
    </row>
    <row r="50" spans="2:9" ht="14.25" customHeight="1" x14ac:dyDescent="0.3">
      <c r="B50" s="19" t="s">
        <v>140</v>
      </c>
      <c r="C50" s="13">
        <v>2</v>
      </c>
    </row>
    <row r="52" spans="2:9" ht="15.75" customHeight="1" x14ac:dyDescent="0.3">
      <c r="B52" s="94" t="s">
        <v>141</v>
      </c>
      <c r="C52" s="85"/>
      <c r="D52" s="85"/>
      <c r="E52" s="85"/>
    </row>
    <row r="53" spans="2:9" ht="14.25" customHeight="1" x14ac:dyDescent="0.3">
      <c r="B53" s="11" t="s">
        <v>104</v>
      </c>
      <c r="C53" s="11" t="s">
        <v>142</v>
      </c>
    </row>
    <row r="54" spans="2:9" ht="14.25" customHeight="1" x14ac:dyDescent="0.3">
      <c r="B54" s="18" t="s">
        <v>124</v>
      </c>
      <c r="C54" s="20">
        <v>4150</v>
      </c>
    </row>
    <row r="55" spans="2:9" ht="14.25" customHeight="1" x14ac:dyDescent="0.3">
      <c r="B55" s="19" t="s">
        <v>119</v>
      </c>
      <c r="C55" s="21">
        <v>3000</v>
      </c>
    </row>
    <row r="56" spans="2:9" ht="14.25" customHeight="1" x14ac:dyDescent="0.3">
      <c r="B56" s="18" t="s">
        <v>108</v>
      </c>
      <c r="C56" s="22">
        <v>2827</v>
      </c>
    </row>
    <row r="57" spans="2:9" ht="14.25" customHeight="1" x14ac:dyDescent="0.3">
      <c r="B57" s="19" t="s">
        <v>116</v>
      </c>
      <c r="C57" s="21">
        <v>2600</v>
      </c>
    </row>
    <row r="58" spans="2:9" ht="14.25" customHeight="1" x14ac:dyDescent="0.3">
      <c r="B58" s="18" t="s">
        <v>114</v>
      </c>
      <c r="C58" s="22">
        <v>2400</v>
      </c>
    </row>
    <row r="59" spans="2:9" ht="14.25" customHeight="1" x14ac:dyDescent="0.3">
      <c r="B59" s="19" t="s">
        <v>127</v>
      </c>
      <c r="C59" s="21">
        <v>1921</v>
      </c>
    </row>
    <row r="60" spans="2:9" ht="14.25" customHeight="1" x14ac:dyDescent="0.3">
      <c r="B60" s="18" t="s">
        <v>143</v>
      </c>
      <c r="C60" s="22">
        <v>1775</v>
      </c>
    </row>
    <row r="61" spans="2:9" ht="14.25" customHeight="1" x14ac:dyDescent="0.3">
      <c r="B61" s="19" t="s">
        <v>111</v>
      </c>
      <c r="C61" s="21">
        <v>1117</v>
      </c>
    </row>
    <row r="63" spans="2:9" ht="15" customHeight="1" x14ac:dyDescent="0.3">
      <c r="B63" s="96" t="s">
        <v>144</v>
      </c>
      <c r="C63" s="85"/>
      <c r="D63" s="85"/>
      <c r="E63" s="85"/>
      <c r="F63" s="85"/>
      <c r="G63" s="85"/>
      <c r="H63" s="85"/>
      <c r="I63" s="85"/>
    </row>
  </sheetData>
  <mergeCells count="9">
    <mergeCell ref="B63:I63"/>
    <mergeCell ref="B1:I1"/>
    <mergeCell ref="B4:I4"/>
    <mergeCell ref="B23:E23"/>
    <mergeCell ref="B9:E9"/>
    <mergeCell ref="B41:E41"/>
    <mergeCell ref="B2:I2"/>
    <mergeCell ref="B52:E52"/>
    <mergeCell ref="B30:E30"/>
  </mergeCells>
  <pageMargins left="0.4" right="0.4" top="0.5" bottom="0.5" header="0.3" footer="0.3"/>
  <pageSetup paperSize="9" orientation="landscape" horizontalDpi="300" verticalDpi="300"/>
  <headerFooter>
    <oddHeader>&amp;C&amp;"Arial,Bold"&amp;8 EMAAR PROPERTIES — CONFIDENTIAL</oddHeader>
    <oddFooter>&amp;LCompetition-Grade Research | Feb 2026&amp;RPage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0"/>
  <sheetViews>
    <sheetView topLeftCell="A24" workbookViewId="0">
      <selection sqref="A1:G1"/>
    </sheetView>
  </sheetViews>
  <sheetFormatPr defaultRowHeight="14.4" x14ac:dyDescent="0.3"/>
  <cols>
    <col min="1" max="1" width="6" customWidth="1"/>
    <col min="2" max="2" width="25" customWidth="1"/>
    <col min="3" max="4" width="20" customWidth="1"/>
    <col min="5" max="5" width="32.109375" customWidth="1"/>
    <col min="6" max="6" width="30" customWidth="1"/>
    <col min="7" max="7" width="12" customWidth="1"/>
  </cols>
  <sheetData>
    <row r="1" spans="1:7" ht="30" customHeight="1" x14ac:dyDescent="0.3">
      <c r="A1" s="99" t="s">
        <v>145</v>
      </c>
      <c r="B1" s="85"/>
      <c r="C1" s="85"/>
      <c r="D1" s="85"/>
      <c r="E1" s="85"/>
      <c r="F1" s="85"/>
      <c r="G1" s="85"/>
    </row>
    <row r="2" spans="1:7" x14ac:dyDescent="0.3">
      <c r="A2" s="98" t="s">
        <v>146</v>
      </c>
      <c r="B2" s="85"/>
      <c r="C2" s="85"/>
      <c r="D2" s="85"/>
      <c r="E2" s="85"/>
      <c r="F2" s="85"/>
      <c r="G2" s="85"/>
    </row>
    <row r="3" spans="1:7" ht="25.05" customHeight="1" x14ac:dyDescent="0.3">
      <c r="A3" s="76" t="s">
        <v>147</v>
      </c>
      <c r="B3" s="76" t="s">
        <v>148</v>
      </c>
      <c r="C3" s="76" t="s">
        <v>149</v>
      </c>
      <c r="D3" s="76" t="s">
        <v>150</v>
      </c>
      <c r="E3" s="76" t="s">
        <v>151</v>
      </c>
      <c r="F3" s="76" t="s">
        <v>152</v>
      </c>
      <c r="G3" s="76" t="s">
        <v>37</v>
      </c>
    </row>
    <row r="4" spans="1:7" ht="19.95" customHeight="1" x14ac:dyDescent="0.3">
      <c r="A4" s="77">
        <v>7</v>
      </c>
      <c r="B4" s="77" t="s">
        <v>153</v>
      </c>
      <c r="C4" s="77" t="s">
        <v>154</v>
      </c>
      <c r="D4" s="77" t="s">
        <v>155</v>
      </c>
      <c r="E4" s="77" t="s">
        <v>156</v>
      </c>
      <c r="F4" s="77" t="s">
        <v>157</v>
      </c>
      <c r="G4" s="78" t="s">
        <v>158</v>
      </c>
    </row>
    <row r="5" spans="1:7" ht="19.95" customHeight="1" x14ac:dyDescent="0.3">
      <c r="A5" s="79">
        <v>10</v>
      </c>
      <c r="B5" s="79" t="s">
        <v>159</v>
      </c>
      <c r="C5" s="79" t="s">
        <v>160</v>
      </c>
      <c r="D5" s="79" t="s">
        <v>161</v>
      </c>
      <c r="E5" s="79" t="s">
        <v>162</v>
      </c>
      <c r="F5" s="79" t="s">
        <v>163</v>
      </c>
      <c r="G5" s="78" t="s">
        <v>158</v>
      </c>
    </row>
    <row r="6" spans="1:7" ht="19.95" customHeight="1" x14ac:dyDescent="0.3">
      <c r="A6" s="77">
        <v>10</v>
      </c>
      <c r="B6" s="77" t="s">
        <v>159</v>
      </c>
      <c r="C6" s="77" t="s">
        <v>164</v>
      </c>
      <c r="D6" s="77" t="s">
        <v>165</v>
      </c>
      <c r="E6" s="77" t="s">
        <v>166</v>
      </c>
      <c r="F6" s="77" t="s">
        <v>167</v>
      </c>
      <c r="G6" s="80" t="s">
        <v>168</v>
      </c>
    </row>
    <row r="7" spans="1:7" ht="19.95" customHeight="1" x14ac:dyDescent="0.3">
      <c r="A7" s="79">
        <v>15</v>
      </c>
      <c r="B7" s="79" t="s">
        <v>169</v>
      </c>
      <c r="C7" s="79" t="s">
        <v>160</v>
      </c>
      <c r="D7" s="79" t="s">
        <v>161</v>
      </c>
      <c r="E7" s="79" t="s">
        <v>170</v>
      </c>
      <c r="F7" s="79" t="s">
        <v>171</v>
      </c>
      <c r="G7" s="78" t="s">
        <v>158</v>
      </c>
    </row>
    <row r="8" spans="1:7" ht="19.95" customHeight="1" x14ac:dyDescent="0.3">
      <c r="A8" s="77">
        <v>21</v>
      </c>
      <c r="B8" s="77" t="s">
        <v>172</v>
      </c>
      <c r="C8" s="77" t="s">
        <v>164</v>
      </c>
      <c r="D8" s="77" t="s">
        <v>173</v>
      </c>
      <c r="E8" s="77" t="s">
        <v>174</v>
      </c>
      <c r="F8" s="77" t="s">
        <v>175</v>
      </c>
      <c r="G8" s="81" t="s">
        <v>176</v>
      </c>
    </row>
    <row r="9" spans="1:7" ht="19.95" customHeight="1" x14ac:dyDescent="0.3">
      <c r="A9" s="79">
        <v>21</v>
      </c>
      <c r="B9" s="79" t="s">
        <v>172</v>
      </c>
      <c r="C9" s="79" t="s">
        <v>154</v>
      </c>
      <c r="D9" s="79" t="s">
        <v>155</v>
      </c>
      <c r="E9" s="79" t="s">
        <v>156</v>
      </c>
      <c r="F9" s="79" t="s">
        <v>157</v>
      </c>
      <c r="G9" s="81" t="s">
        <v>176</v>
      </c>
    </row>
    <row r="10" spans="1:7" ht="19.95" customHeight="1" x14ac:dyDescent="0.3">
      <c r="A10" s="77">
        <v>22</v>
      </c>
      <c r="B10" s="77" t="s">
        <v>177</v>
      </c>
      <c r="C10" s="77" t="s">
        <v>160</v>
      </c>
      <c r="D10" s="77" t="s">
        <v>161</v>
      </c>
      <c r="E10" s="77" t="s">
        <v>178</v>
      </c>
      <c r="F10" s="77" t="s">
        <v>167</v>
      </c>
      <c r="G10" s="78" t="s">
        <v>158</v>
      </c>
    </row>
    <row r="11" spans="1:7" ht="19.95" customHeight="1" x14ac:dyDescent="0.3">
      <c r="A11" s="79">
        <v>22</v>
      </c>
      <c r="B11" s="79" t="s">
        <v>177</v>
      </c>
      <c r="C11" s="79" t="s">
        <v>164</v>
      </c>
      <c r="D11" s="79" t="s">
        <v>166</v>
      </c>
      <c r="E11" s="79" t="s">
        <v>174</v>
      </c>
      <c r="F11" s="79" t="s">
        <v>179</v>
      </c>
      <c r="G11" s="80" t="s">
        <v>168</v>
      </c>
    </row>
    <row r="12" spans="1:7" ht="19.95" customHeight="1" x14ac:dyDescent="0.3">
      <c r="A12" s="77">
        <v>23</v>
      </c>
      <c r="B12" s="77" t="s">
        <v>180</v>
      </c>
      <c r="C12" s="77" t="s">
        <v>160</v>
      </c>
      <c r="D12" s="77" t="s">
        <v>161</v>
      </c>
      <c r="E12" s="77" t="s">
        <v>181</v>
      </c>
      <c r="F12" s="77" t="s">
        <v>167</v>
      </c>
      <c r="G12" s="78" t="s">
        <v>158</v>
      </c>
    </row>
    <row r="13" spans="1:7" ht="19.95" customHeight="1" x14ac:dyDescent="0.3">
      <c r="A13" s="79">
        <v>24</v>
      </c>
      <c r="B13" s="79" t="s">
        <v>182</v>
      </c>
      <c r="C13" s="79" t="s">
        <v>160</v>
      </c>
      <c r="D13" s="79" t="s">
        <v>161</v>
      </c>
      <c r="E13" s="79" t="s">
        <v>183</v>
      </c>
      <c r="F13" s="79" t="s">
        <v>167</v>
      </c>
      <c r="G13" s="78" t="s">
        <v>158</v>
      </c>
    </row>
    <row r="14" spans="1:7" ht="19.95" customHeight="1" x14ac:dyDescent="0.3">
      <c r="A14" s="77">
        <v>24</v>
      </c>
      <c r="B14" s="77" t="s">
        <v>182</v>
      </c>
      <c r="C14" s="77" t="s">
        <v>164</v>
      </c>
      <c r="D14" s="77" t="s">
        <v>184</v>
      </c>
      <c r="E14" s="77" t="s">
        <v>185</v>
      </c>
      <c r="F14" s="77" t="s">
        <v>186</v>
      </c>
      <c r="G14" s="78" t="s">
        <v>158</v>
      </c>
    </row>
    <row r="15" spans="1:7" ht="19.95" customHeight="1" x14ac:dyDescent="0.3">
      <c r="A15" s="79">
        <v>25</v>
      </c>
      <c r="B15" s="79" t="s">
        <v>187</v>
      </c>
      <c r="C15" s="79" t="s">
        <v>160</v>
      </c>
      <c r="D15" s="79" t="s">
        <v>161</v>
      </c>
      <c r="E15" s="79" t="s">
        <v>188</v>
      </c>
      <c r="F15" s="79" t="s">
        <v>167</v>
      </c>
      <c r="G15" s="78" t="s">
        <v>158</v>
      </c>
    </row>
    <row r="16" spans="1:7" ht="19.95" customHeight="1" x14ac:dyDescent="0.3">
      <c r="A16" s="77">
        <v>25</v>
      </c>
      <c r="B16" s="77" t="s">
        <v>187</v>
      </c>
      <c r="C16" s="77" t="s">
        <v>164</v>
      </c>
      <c r="D16" s="77" t="s">
        <v>184</v>
      </c>
      <c r="E16" s="77" t="s">
        <v>189</v>
      </c>
      <c r="F16" s="77" t="s">
        <v>186</v>
      </c>
      <c r="G16" s="78" t="s">
        <v>158</v>
      </c>
    </row>
    <row r="17" spans="1:7" ht="19.95" customHeight="1" x14ac:dyDescent="0.3">
      <c r="A17" s="79">
        <v>26</v>
      </c>
      <c r="B17" s="79" t="s">
        <v>190</v>
      </c>
      <c r="C17" s="79" t="s">
        <v>160</v>
      </c>
      <c r="D17" s="79" t="s">
        <v>161</v>
      </c>
      <c r="E17" s="79" t="s">
        <v>191</v>
      </c>
      <c r="F17" s="79" t="s">
        <v>167</v>
      </c>
      <c r="G17" s="78" t="s">
        <v>158</v>
      </c>
    </row>
    <row r="18" spans="1:7" ht="19.95" customHeight="1" x14ac:dyDescent="0.3">
      <c r="A18" s="77">
        <v>27</v>
      </c>
      <c r="B18" s="77" t="s">
        <v>192</v>
      </c>
      <c r="C18" s="77" t="s">
        <v>160</v>
      </c>
      <c r="D18" s="77" t="s">
        <v>161</v>
      </c>
      <c r="E18" s="77" t="s">
        <v>193</v>
      </c>
      <c r="F18" s="77" t="s">
        <v>179</v>
      </c>
      <c r="G18" s="78" t="s">
        <v>158</v>
      </c>
    </row>
    <row r="19" spans="1:7" ht="19.95" customHeight="1" x14ac:dyDescent="0.3">
      <c r="A19" s="79">
        <v>34</v>
      </c>
      <c r="B19" s="79" t="s">
        <v>194</v>
      </c>
      <c r="C19" s="79" t="s">
        <v>160</v>
      </c>
      <c r="D19" s="79" t="s">
        <v>195</v>
      </c>
      <c r="E19" s="79" t="s">
        <v>196</v>
      </c>
      <c r="F19" s="79" t="s">
        <v>197</v>
      </c>
      <c r="G19" s="81" t="s">
        <v>176</v>
      </c>
    </row>
    <row r="20" spans="1:7" ht="19.95" customHeight="1" x14ac:dyDescent="0.3">
      <c r="A20" s="77">
        <v>35</v>
      </c>
      <c r="B20" s="77" t="s">
        <v>198</v>
      </c>
      <c r="C20" s="77" t="s">
        <v>160</v>
      </c>
      <c r="D20" s="77" t="s">
        <v>161</v>
      </c>
      <c r="E20" s="77" t="s">
        <v>199</v>
      </c>
      <c r="F20" s="77" t="s">
        <v>167</v>
      </c>
      <c r="G20" s="78" t="s">
        <v>158</v>
      </c>
    </row>
    <row r="21" spans="1:7" ht="19.95" customHeight="1" x14ac:dyDescent="0.3">
      <c r="A21" s="79">
        <v>35</v>
      </c>
      <c r="B21" s="79" t="s">
        <v>198</v>
      </c>
      <c r="C21" s="79" t="s">
        <v>164</v>
      </c>
      <c r="D21" s="79" t="s">
        <v>165</v>
      </c>
      <c r="E21" s="79" t="s">
        <v>184</v>
      </c>
      <c r="F21" s="79" t="s">
        <v>167</v>
      </c>
      <c r="G21" s="78" t="s">
        <v>158</v>
      </c>
    </row>
    <row r="22" spans="1:7" ht="19.95" customHeight="1" x14ac:dyDescent="0.3">
      <c r="A22" s="77">
        <v>36</v>
      </c>
      <c r="B22" s="77" t="s">
        <v>200</v>
      </c>
      <c r="C22" s="77" t="s">
        <v>160</v>
      </c>
      <c r="D22" s="77" t="s">
        <v>201</v>
      </c>
      <c r="E22" s="77" t="s">
        <v>202</v>
      </c>
      <c r="F22" s="77" t="s">
        <v>203</v>
      </c>
      <c r="G22" s="81" t="s">
        <v>176</v>
      </c>
    </row>
    <row r="23" spans="1:7" ht="19.95" customHeight="1" x14ac:dyDescent="0.3">
      <c r="A23" s="79">
        <v>36</v>
      </c>
      <c r="B23" s="79" t="s">
        <v>200</v>
      </c>
      <c r="C23" s="79" t="s">
        <v>154</v>
      </c>
      <c r="D23" s="79" t="s">
        <v>156</v>
      </c>
      <c r="E23" s="79" t="s">
        <v>155</v>
      </c>
      <c r="F23" s="79" t="s">
        <v>203</v>
      </c>
      <c r="G23" s="81" t="s">
        <v>176</v>
      </c>
    </row>
    <row r="24" spans="1:7" ht="19.95" customHeight="1" x14ac:dyDescent="0.3">
      <c r="A24" s="77">
        <v>41</v>
      </c>
      <c r="B24" s="77" t="s">
        <v>204</v>
      </c>
      <c r="C24" s="77" t="s">
        <v>160</v>
      </c>
      <c r="D24" s="77" t="s">
        <v>161</v>
      </c>
      <c r="E24" s="77" t="s">
        <v>205</v>
      </c>
      <c r="F24" s="77" t="s">
        <v>171</v>
      </c>
      <c r="G24" s="78" t="s">
        <v>158</v>
      </c>
    </row>
    <row r="25" spans="1:7" ht="19.95" customHeight="1" x14ac:dyDescent="0.3">
      <c r="A25" s="79">
        <v>42</v>
      </c>
      <c r="B25" s="79" t="s">
        <v>206</v>
      </c>
      <c r="C25" s="79" t="s">
        <v>160</v>
      </c>
      <c r="D25" s="79" t="s">
        <v>161</v>
      </c>
      <c r="E25" s="79" t="s">
        <v>207</v>
      </c>
      <c r="F25" s="79" t="s">
        <v>208</v>
      </c>
      <c r="G25" s="78" t="s">
        <v>158</v>
      </c>
    </row>
    <row r="26" spans="1:7" ht="19.95" customHeight="1" x14ac:dyDescent="0.3">
      <c r="A26" s="77">
        <v>43</v>
      </c>
      <c r="B26" s="77" t="s">
        <v>209</v>
      </c>
      <c r="C26" s="77" t="s">
        <v>160</v>
      </c>
      <c r="D26" s="77" t="s">
        <v>161</v>
      </c>
      <c r="E26" s="77" t="s">
        <v>207</v>
      </c>
      <c r="F26" s="77" t="s">
        <v>208</v>
      </c>
      <c r="G26" s="78" t="s">
        <v>158</v>
      </c>
    </row>
    <row r="27" spans="1:7" ht="19.95" customHeight="1" x14ac:dyDescent="0.3">
      <c r="A27" s="79">
        <v>44</v>
      </c>
      <c r="B27" s="79" t="s">
        <v>210</v>
      </c>
      <c r="C27" s="79" t="s">
        <v>160</v>
      </c>
      <c r="D27" s="79" t="s">
        <v>211</v>
      </c>
      <c r="E27" s="79" t="s">
        <v>212</v>
      </c>
      <c r="F27" s="79" t="s">
        <v>213</v>
      </c>
      <c r="G27" s="81" t="s">
        <v>176</v>
      </c>
    </row>
    <row r="28" spans="1:7" ht="19.95" customHeight="1" x14ac:dyDescent="0.3">
      <c r="A28" s="77">
        <v>44</v>
      </c>
      <c r="B28" s="77" t="s">
        <v>210</v>
      </c>
      <c r="C28" s="77" t="s">
        <v>164</v>
      </c>
      <c r="D28" s="77" t="s">
        <v>184</v>
      </c>
      <c r="E28" s="77" t="s">
        <v>185</v>
      </c>
      <c r="F28" s="77" t="s">
        <v>186</v>
      </c>
      <c r="G28" s="81" t="s">
        <v>176</v>
      </c>
    </row>
    <row r="29" spans="1:7" ht="19.95" customHeight="1" x14ac:dyDescent="0.3">
      <c r="A29" s="79">
        <v>46</v>
      </c>
      <c r="B29" s="79" t="s">
        <v>214</v>
      </c>
      <c r="C29" s="79" t="s">
        <v>164</v>
      </c>
      <c r="D29" s="79" t="s">
        <v>184</v>
      </c>
      <c r="E29" s="79" t="s">
        <v>189</v>
      </c>
      <c r="F29" s="79" t="s">
        <v>215</v>
      </c>
      <c r="G29" s="81" t="s">
        <v>176</v>
      </c>
    </row>
    <row r="30" spans="1:7" ht="19.95" customHeight="1" x14ac:dyDescent="0.3">
      <c r="A30" s="77">
        <v>47</v>
      </c>
      <c r="B30" s="77" t="s">
        <v>216</v>
      </c>
      <c r="C30" s="77" t="s">
        <v>160</v>
      </c>
      <c r="D30" s="77" t="s">
        <v>161</v>
      </c>
      <c r="E30" s="77" t="s">
        <v>217</v>
      </c>
      <c r="F30" s="77" t="s">
        <v>167</v>
      </c>
      <c r="G30" s="78" t="s">
        <v>158</v>
      </c>
    </row>
    <row r="31" spans="1:7" ht="19.95" customHeight="1" x14ac:dyDescent="0.3">
      <c r="A31" s="79">
        <v>47</v>
      </c>
      <c r="B31" s="79" t="s">
        <v>216</v>
      </c>
      <c r="C31" s="79" t="s">
        <v>164</v>
      </c>
      <c r="D31" s="79" t="s">
        <v>184</v>
      </c>
      <c r="E31" s="79" t="s">
        <v>218</v>
      </c>
      <c r="F31" s="79" t="s">
        <v>167</v>
      </c>
      <c r="G31" s="78" t="s">
        <v>158</v>
      </c>
    </row>
    <row r="32" spans="1:7" ht="19.95" customHeight="1" x14ac:dyDescent="0.3">
      <c r="A32" s="77">
        <v>47</v>
      </c>
      <c r="B32" s="77" t="s">
        <v>216</v>
      </c>
      <c r="C32" s="77" t="s">
        <v>154</v>
      </c>
      <c r="D32" s="77" t="s">
        <v>155</v>
      </c>
      <c r="E32" s="77" t="s">
        <v>219</v>
      </c>
      <c r="F32" s="77" t="s">
        <v>167</v>
      </c>
      <c r="G32" s="78" t="s">
        <v>158</v>
      </c>
    </row>
    <row r="34" spans="1:1" x14ac:dyDescent="0.3">
      <c r="A34" s="82" t="s">
        <v>220</v>
      </c>
    </row>
    <row r="35" spans="1:1" x14ac:dyDescent="0.3">
      <c r="A35" t="s">
        <v>221</v>
      </c>
    </row>
    <row r="36" spans="1:1" x14ac:dyDescent="0.3">
      <c r="A36" t="s">
        <v>222</v>
      </c>
    </row>
    <row r="37" spans="1:1" x14ac:dyDescent="0.3">
      <c r="A37" t="s">
        <v>223</v>
      </c>
    </row>
    <row r="38" spans="1:1" x14ac:dyDescent="0.3">
      <c r="A38" t="s">
        <v>224</v>
      </c>
    </row>
    <row r="39" spans="1:1" x14ac:dyDescent="0.3">
      <c r="A39" t="s">
        <v>225</v>
      </c>
    </row>
    <row r="40" spans="1:1" x14ac:dyDescent="0.3">
      <c r="A40" s="83" t="s">
        <v>226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D1B2A"/>
    <pageSetUpPr fitToPage="1"/>
  </sheetPr>
  <dimension ref="A1:F47"/>
  <sheetViews>
    <sheetView zoomScaleNormal="100" workbookViewId="0">
      <pane ySplit="5" topLeftCell="A7" activePane="bottomLeft" state="frozen"/>
      <selection pane="bottomLeft" activeCell="C11" sqref="C11"/>
    </sheetView>
  </sheetViews>
  <sheetFormatPr defaultColWidth="8.6640625" defaultRowHeight="14.4" x14ac:dyDescent="0.3"/>
  <cols>
    <col min="1" max="1" width="28" customWidth="1"/>
    <col min="2" max="2" width="48" customWidth="1"/>
    <col min="3" max="3" width="32" customWidth="1"/>
    <col min="4" max="4" width="17.33203125" customWidth="1"/>
    <col min="5" max="5" width="44" customWidth="1"/>
  </cols>
  <sheetData>
    <row r="1" spans="1:6" ht="36" customHeight="1" x14ac:dyDescent="0.4">
      <c r="A1" s="84" t="s">
        <v>227</v>
      </c>
      <c r="B1" s="85"/>
      <c r="C1" s="85"/>
      <c r="D1" s="85"/>
      <c r="E1" s="85"/>
      <c r="F1" s="85"/>
    </row>
    <row r="2" spans="1:6" ht="15" customHeight="1" x14ac:dyDescent="0.3">
      <c r="A2" s="90" t="s">
        <v>228</v>
      </c>
      <c r="B2" s="85"/>
      <c r="C2" s="85"/>
      <c r="D2" s="85"/>
      <c r="E2" s="85"/>
      <c r="F2" s="85"/>
    </row>
    <row r="4" spans="1:6" ht="15.75" customHeight="1" x14ac:dyDescent="0.3">
      <c r="A4" s="88" t="s">
        <v>229</v>
      </c>
      <c r="B4" s="85"/>
      <c r="C4" s="85"/>
      <c r="D4" s="85"/>
      <c r="E4" s="85"/>
      <c r="F4" s="85"/>
    </row>
    <row r="5" spans="1:6" ht="31.5" customHeight="1" x14ac:dyDescent="0.3">
      <c r="A5" s="23" t="s">
        <v>230</v>
      </c>
      <c r="B5" s="23" t="s">
        <v>231</v>
      </c>
    </row>
    <row r="6" spans="1:6" ht="21.75" customHeight="1" x14ac:dyDescent="0.3">
      <c r="A6" s="24" t="s">
        <v>232</v>
      </c>
      <c r="B6" s="25" t="s">
        <v>233</v>
      </c>
    </row>
    <row r="7" spans="1:6" ht="21.75" customHeight="1" x14ac:dyDescent="0.3">
      <c r="A7" s="26" t="s">
        <v>234</v>
      </c>
      <c r="B7" s="27" t="s">
        <v>235</v>
      </c>
    </row>
    <row r="8" spans="1:6" ht="21.75" customHeight="1" x14ac:dyDescent="0.3">
      <c r="A8" s="24" t="s">
        <v>236</v>
      </c>
      <c r="B8" s="25" t="s">
        <v>237</v>
      </c>
    </row>
    <row r="9" spans="1:6" ht="21.75" customHeight="1" x14ac:dyDescent="0.3">
      <c r="A9" s="26" t="s">
        <v>238</v>
      </c>
      <c r="B9" s="27" t="s">
        <v>239</v>
      </c>
    </row>
    <row r="10" spans="1:6" ht="21.75" customHeight="1" x14ac:dyDescent="0.3">
      <c r="A10" s="24" t="s">
        <v>240</v>
      </c>
      <c r="B10" s="25" t="s">
        <v>241</v>
      </c>
    </row>
    <row r="11" spans="1:6" ht="21.75" customHeight="1" x14ac:dyDescent="0.3">
      <c r="A11" s="26" t="s">
        <v>242</v>
      </c>
      <c r="B11" s="27" t="s">
        <v>243</v>
      </c>
    </row>
    <row r="12" spans="1:6" ht="21.75" customHeight="1" x14ac:dyDescent="0.3">
      <c r="A12" s="24" t="s">
        <v>244</v>
      </c>
      <c r="B12" s="25" t="s">
        <v>245</v>
      </c>
    </row>
    <row r="13" spans="1:6" ht="21.75" customHeight="1" x14ac:dyDescent="0.3">
      <c r="A13" s="26" t="s">
        <v>246</v>
      </c>
      <c r="B13" s="27" t="s">
        <v>247</v>
      </c>
    </row>
    <row r="14" spans="1:6" ht="21.75" customHeight="1" x14ac:dyDescent="0.3">
      <c r="A14" s="24" t="s">
        <v>248</v>
      </c>
      <c r="B14" s="25" t="s">
        <v>249</v>
      </c>
    </row>
    <row r="15" spans="1:6" ht="21.75" customHeight="1" x14ac:dyDescent="0.3">
      <c r="A15" s="26" t="s">
        <v>250</v>
      </c>
      <c r="B15" s="27" t="s">
        <v>251</v>
      </c>
    </row>
    <row r="16" spans="1:6" ht="21.75" customHeight="1" x14ac:dyDescent="0.3">
      <c r="A16" s="24" t="s">
        <v>252</v>
      </c>
      <c r="B16" s="25" t="s">
        <v>253</v>
      </c>
    </row>
    <row r="17" spans="1:2" ht="21.75" customHeight="1" x14ac:dyDescent="0.3">
      <c r="A17" s="26" t="s">
        <v>254</v>
      </c>
      <c r="B17" s="27" t="s">
        <v>255</v>
      </c>
    </row>
    <row r="18" spans="1:2" ht="21.75" customHeight="1" x14ac:dyDescent="0.3">
      <c r="A18" s="24" t="s">
        <v>256</v>
      </c>
      <c r="B18" s="25" t="s">
        <v>257</v>
      </c>
    </row>
    <row r="19" spans="1:2" ht="21.75" customHeight="1" x14ac:dyDescent="0.3">
      <c r="A19" s="26" t="s">
        <v>258</v>
      </c>
      <c r="B19" s="27" t="s">
        <v>259</v>
      </c>
    </row>
    <row r="20" spans="1:2" ht="21.75" customHeight="1" x14ac:dyDescent="0.3">
      <c r="A20" s="24" t="s">
        <v>63</v>
      </c>
      <c r="B20" s="25" t="s">
        <v>260</v>
      </c>
    </row>
    <row r="21" spans="1:2" ht="21.75" customHeight="1" x14ac:dyDescent="0.3">
      <c r="A21" s="26" t="s">
        <v>261</v>
      </c>
      <c r="B21" s="27" t="s">
        <v>262</v>
      </c>
    </row>
    <row r="22" spans="1:2" ht="21.75" customHeight="1" x14ac:dyDescent="0.3">
      <c r="A22" s="24" t="s">
        <v>263</v>
      </c>
      <c r="B22" s="25" t="s">
        <v>264</v>
      </c>
    </row>
    <row r="23" spans="1:2" ht="21.75" customHeight="1" x14ac:dyDescent="0.3">
      <c r="A23" s="26" t="s">
        <v>265</v>
      </c>
      <c r="B23" s="27" t="s">
        <v>266</v>
      </c>
    </row>
    <row r="24" spans="1:2" ht="21.75" customHeight="1" x14ac:dyDescent="0.3">
      <c r="A24" s="24" t="s">
        <v>267</v>
      </c>
      <c r="B24" s="25" t="s">
        <v>268</v>
      </c>
    </row>
    <row r="25" spans="1:2" ht="21.75" customHeight="1" x14ac:dyDescent="0.3">
      <c r="A25" s="26" t="s">
        <v>269</v>
      </c>
      <c r="B25" s="27" t="s">
        <v>270</v>
      </c>
    </row>
    <row r="26" spans="1:2" ht="21.75" customHeight="1" x14ac:dyDescent="0.3">
      <c r="A26" s="24" t="s">
        <v>271</v>
      </c>
      <c r="B26" s="25" t="s">
        <v>272</v>
      </c>
    </row>
    <row r="27" spans="1:2" ht="21.75" customHeight="1" x14ac:dyDescent="0.3">
      <c r="A27" s="26" t="s">
        <v>273</v>
      </c>
      <c r="B27" s="27" t="s">
        <v>274</v>
      </c>
    </row>
    <row r="28" spans="1:2" ht="21.75" customHeight="1" x14ac:dyDescent="0.3">
      <c r="A28" s="24" t="s">
        <v>275</v>
      </c>
      <c r="B28" s="25" t="s">
        <v>276</v>
      </c>
    </row>
    <row r="29" spans="1:2" ht="21.75" customHeight="1" x14ac:dyDescent="0.3">
      <c r="A29" s="26" t="s">
        <v>277</v>
      </c>
      <c r="B29" s="27" t="s">
        <v>278</v>
      </c>
    </row>
    <row r="30" spans="1:2" ht="21.75" customHeight="1" x14ac:dyDescent="0.3">
      <c r="A30" s="24" t="s">
        <v>279</v>
      </c>
      <c r="B30" s="25" t="s">
        <v>280</v>
      </c>
    </row>
    <row r="31" spans="1:2" ht="21.75" customHeight="1" x14ac:dyDescent="0.3">
      <c r="A31" s="26" t="s">
        <v>281</v>
      </c>
      <c r="B31" s="27" t="s">
        <v>282</v>
      </c>
    </row>
    <row r="32" spans="1:2" ht="21.75" customHeight="1" x14ac:dyDescent="0.3">
      <c r="A32" s="24" t="s">
        <v>283</v>
      </c>
      <c r="B32" s="25" t="s">
        <v>284</v>
      </c>
    </row>
    <row r="33" spans="1:6" ht="21.75" customHeight="1" x14ac:dyDescent="0.3">
      <c r="A33" s="26" t="s">
        <v>285</v>
      </c>
      <c r="B33" s="27" t="s">
        <v>286</v>
      </c>
    </row>
    <row r="36" spans="1:6" ht="15.75" customHeight="1" x14ac:dyDescent="0.3">
      <c r="A36" s="89" t="s">
        <v>287</v>
      </c>
      <c r="B36" s="85"/>
      <c r="C36" s="85"/>
      <c r="D36" s="85"/>
      <c r="E36" s="85"/>
      <c r="F36" s="85"/>
    </row>
    <row r="37" spans="1:6" ht="31.5" customHeight="1" x14ac:dyDescent="0.3">
      <c r="A37" s="23" t="s">
        <v>288</v>
      </c>
      <c r="B37" s="23" t="s">
        <v>289</v>
      </c>
      <c r="C37" s="23" t="s">
        <v>290</v>
      </c>
      <c r="D37" s="23" t="s">
        <v>291</v>
      </c>
      <c r="E37" s="23" t="s">
        <v>292</v>
      </c>
    </row>
    <row r="38" spans="1:6" ht="27.75" customHeight="1" x14ac:dyDescent="0.3">
      <c r="A38" s="24" t="s">
        <v>293</v>
      </c>
      <c r="B38" s="25" t="s">
        <v>65</v>
      </c>
      <c r="C38" s="25" t="s">
        <v>294</v>
      </c>
      <c r="D38" s="28" t="s">
        <v>295</v>
      </c>
      <c r="E38" s="25" t="s">
        <v>296</v>
      </c>
    </row>
    <row r="39" spans="1:6" ht="27.75" customHeight="1" x14ac:dyDescent="0.3">
      <c r="A39" s="26" t="s">
        <v>254</v>
      </c>
      <c r="B39" s="27" t="s">
        <v>68</v>
      </c>
      <c r="C39" s="27" t="s">
        <v>297</v>
      </c>
      <c r="D39" s="28" t="s">
        <v>295</v>
      </c>
      <c r="E39" s="27" t="s">
        <v>298</v>
      </c>
    </row>
    <row r="40" spans="1:6" ht="27.75" customHeight="1" x14ac:dyDescent="0.3">
      <c r="A40" s="24" t="s">
        <v>61</v>
      </c>
      <c r="B40" s="25" t="s">
        <v>69</v>
      </c>
      <c r="C40" s="25" t="s">
        <v>299</v>
      </c>
      <c r="D40" s="28" t="s">
        <v>295</v>
      </c>
      <c r="E40" s="25" t="s">
        <v>300</v>
      </c>
    </row>
    <row r="41" spans="1:6" ht="27.75" customHeight="1" x14ac:dyDescent="0.3">
      <c r="A41" s="26" t="s">
        <v>301</v>
      </c>
      <c r="B41" s="27" t="s">
        <v>302</v>
      </c>
      <c r="C41" s="27" t="s">
        <v>303</v>
      </c>
      <c r="D41" s="29" t="s">
        <v>304</v>
      </c>
      <c r="E41" s="27" t="s">
        <v>305</v>
      </c>
    </row>
    <row r="42" spans="1:6" ht="27.75" customHeight="1" x14ac:dyDescent="0.3">
      <c r="A42" s="24" t="s">
        <v>263</v>
      </c>
      <c r="B42" s="25" t="s">
        <v>72</v>
      </c>
      <c r="C42" s="25" t="s">
        <v>306</v>
      </c>
      <c r="D42" s="28" t="s">
        <v>295</v>
      </c>
      <c r="E42" s="25" t="s">
        <v>307</v>
      </c>
    </row>
    <row r="43" spans="1:6" ht="27.75" customHeight="1" x14ac:dyDescent="0.3">
      <c r="A43" s="26" t="s">
        <v>283</v>
      </c>
      <c r="B43" s="27" t="s">
        <v>308</v>
      </c>
      <c r="C43" s="27" t="s">
        <v>309</v>
      </c>
      <c r="D43" s="28" t="s">
        <v>295</v>
      </c>
      <c r="E43" s="27" t="s">
        <v>310</v>
      </c>
    </row>
    <row r="44" spans="1:6" ht="27.75" customHeight="1" x14ac:dyDescent="0.3">
      <c r="A44" s="24" t="s">
        <v>311</v>
      </c>
      <c r="B44" s="25" t="s">
        <v>312</v>
      </c>
      <c r="C44" s="25" t="s">
        <v>313</v>
      </c>
      <c r="D44" s="28" t="s">
        <v>295</v>
      </c>
      <c r="E44" s="25" t="s">
        <v>314</v>
      </c>
    </row>
    <row r="45" spans="1:6" ht="27.75" customHeight="1" x14ac:dyDescent="0.3">
      <c r="A45" s="26" t="s">
        <v>315</v>
      </c>
      <c r="B45" s="27" t="s">
        <v>316</v>
      </c>
      <c r="C45" s="27" t="s">
        <v>317</v>
      </c>
      <c r="D45" s="28" t="s">
        <v>295</v>
      </c>
      <c r="E45" s="27" t="s">
        <v>318</v>
      </c>
    </row>
    <row r="46" spans="1:6" ht="27.75" customHeight="1" x14ac:dyDescent="0.3">
      <c r="A46" s="24" t="s">
        <v>319</v>
      </c>
      <c r="B46" s="25" t="s">
        <v>320</v>
      </c>
      <c r="C46" s="25" t="s">
        <v>321</v>
      </c>
      <c r="D46" s="28" t="s">
        <v>295</v>
      </c>
      <c r="E46" s="25" t="s">
        <v>322</v>
      </c>
    </row>
    <row r="47" spans="1:6" ht="27.75" customHeight="1" x14ac:dyDescent="0.3">
      <c r="A47" s="26" t="s">
        <v>323</v>
      </c>
      <c r="B47" s="27" t="s">
        <v>324</v>
      </c>
      <c r="C47" s="27" t="s">
        <v>325</v>
      </c>
      <c r="D47" s="30" t="s">
        <v>326</v>
      </c>
      <c r="E47" s="27" t="s">
        <v>327</v>
      </c>
    </row>
  </sheetData>
  <mergeCells count="4">
    <mergeCell ref="A36:F36"/>
    <mergeCell ref="A2:F2"/>
    <mergeCell ref="A1:F1"/>
    <mergeCell ref="A4:F4"/>
  </mergeCells>
  <pageMargins left="0.4" right="0.4" top="0.5" bottom="0.5" header="0.3" footer="0.3"/>
  <pageSetup paperSize="9" fitToHeight="0" orientation="landscape" horizontalDpi="300" verticalDpi="300"/>
  <headerFooter>
    <oddHeader>&amp;C&amp;"Arial,Bold"&amp;8 EMAAR PROPERTIES — CONFIDENTIAL</oddHeader>
    <oddFooter>&amp;LCompetition-Grade Research | Feb 2026&amp;CPage &amp;P of &amp;N&amp;RPage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B5E20"/>
    <pageSetUpPr fitToPage="1"/>
  </sheetPr>
  <dimension ref="A1:R52"/>
  <sheetViews>
    <sheetView zoomScaleNormal="100" workbookViewId="0">
      <pane xSplit="2" ySplit="4" topLeftCell="F5" activePane="bottomRight" state="frozen"/>
      <selection pane="topRight" activeCell="H1" sqref="H1"/>
      <selection pane="bottomLeft" activeCell="A5" sqref="A5"/>
      <selection pane="bottomRight" activeCell="A2" sqref="A2:R2"/>
    </sheetView>
  </sheetViews>
  <sheetFormatPr defaultColWidth="8.6640625" defaultRowHeight="14.4" x14ac:dyDescent="0.3"/>
  <cols>
    <col min="1" max="1" width="4" customWidth="1"/>
    <col min="2" max="2" width="26" customWidth="1"/>
    <col min="3" max="3" width="20" customWidth="1"/>
    <col min="4" max="4" width="24.109375" customWidth="1"/>
    <col min="5" max="5" width="20" customWidth="1"/>
    <col min="6" max="6" width="18.6640625" customWidth="1"/>
    <col min="7" max="7" width="22.44140625" customWidth="1"/>
    <col min="8" max="8" width="16.44140625" customWidth="1"/>
    <col min="9" max="9" width="16" customWidth="1"/>
    <col min="10" max="10" width="24.5546875" customWidth="1"/>
    <col min="11" max="11" width="23.77734375" customWidth="1"/>
    <col min="12" max="12" width="25.21875" customWidth="1"/>
    <col min="13" max="13" width="19.6640625" customWidth="1"/>
    <col min="14" max="14" width="23.5546875" customWidth="1"/>
    <col min="15" max="15" width="10" customWidth="1"/>
    <col min="16" max="16" width="27.6640625" customWidth="1"/>
    <col min="17" max="17" width="21.6640625" customWidth="1"/>
    <col min="18" max="18" width="14" customWidth="1"/>
  </cols>
  <sheetData>
    <row r="1" spans="1:18" ht="36" customHeight="1" x14ac:dyDescent="0.4">
      <c r="A1" s="84" t="s">
        <v>328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</row>
    <row r="2" spans="1:18" ht="15" customHeight="1" x14ac:dyDescent="0.3">
      <c r="A2" s="90" t="s">
        <v>329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</row>
    <row r="3" spans="1:18" ht="15" customHeight="1" x14ac:dyDescent="0.3">
      <c r="A3" s="100" t="s">
        <v>330</v>
      </c>
      <c r="B3" s="85"/>
      <c r="C3" s="85"/>
      <c r="D3" s="31" t="s">
        <v>331</v>
      </c>
      <c r="E3" s="32" t="s">
        <v>332</v>
      </c>
      <c r="F3" s="31" t="s">
        <v>333</v>
      </c>
      <c r="G3" s="33" t="s">
        <v>334</v>
      </c>
      <c r="H3" s="31" t="s">
        <v>335</v>
      </c>
      <c r="I3" s="34" t="s">
        <v>334</v>
      </c>
      <c r="J3" s="31" t="s">
        <v>336</v>
      </c>
      <c r="K3" s="35" t="s">
        <v>337</v>
      </c>
      <c r="L3" s="111"/>
    </row>
    <row r="4" spans="1:18" ht="31.5" customHeight="1" x14ac:dyDescent="0.3">
      <c r="A4" s="23" t="s">
        <v>338</v>
      </c>
      <c r="B4" s="23" t="s">
        <v>148</v>
      </c>
      <c r="C4" s="23" t="s">
        <v>104</v>
      </c>
      <c r="D4" s="23" t="s">
        <v>339</v>
      </c>
      <c r="E4" s="23" t="s">
        <v>340</v>
      </c>
      <c r="F4" s="23" t="s">
        <v>341</v>
      </c>
      <c r="G4" s="23" t="s">
        <v>342</v>
      </c>
      <c r="H4" s="23" t="s">
        <v>164</v>
      </c>
      <c r="I4" s="23" t="s">
        <v>343</v>
      </c>
      <c r="J4" s="23" t="s">
        <v>344</v>
      </c>
      <c r="K4" s="23" t="s">
        <v>345</v>
      </c>
      <c r="L4" s="23" t="s">
        <v>346</v>
      </c>
      <c r="M4" s="23" t="s">
        <v>154</v>
      </c>
      <c r="N4" s="23" t="s">
        <v>347</v>
      </c>
      <c r="O4" s="23" t="s">
        <v>97</v>
      </c>
      <c r="P4" s="23" t="s">
        <v>131</v>
      </c>
      <c r="Q4" s="23" t="s">
        <v>152</v>
      </c>
      <c r="R4" s="23" t="s">
        <v>348</v>
      </c>
    </row>
    <row r="5" spans="1:18" ht="24" customHeight="1" x14ac:dyDescent="0.3">
      <c r="A5" s="25">
        <v>1</v>
      </c>
      <c r="B5" s="25" t="s">
        <v>349</v>
      </c>
      <c r="C5" s="25" t="s">
        <v>114</v>
      </c>
      <c r="D5" s="25" t="s">
        <v>350</v>
      </c>
      <c r="E5" s="25" t="s">
        <v>351</v>
      </c>
      <c r="F5" s="25" t="s">
        <v>352</v>
      </c>
      <c r="G5" s="36" t="s">
        <v>353</v>
      </c>
      <c r="H5" s="25" t="s">
        <v>354</v>
      </c>
      <c r="I5" s="37">
        <v>1750000</v>
      </c>
      <c r="J5" s="37">
        <v>750</v>
      </c>
      <c r="K5" s="37">
        <v>2200</v>
      </c>
      <c r="L5" s="112">
        <f t="shared" ref="L5:L52" si="0">I5/J5</f>
        <v>2333.3333333333335</v>
      </c>
      <c r="M5" s="25" t="s">
        <v>355</v>
      </c>
      <c r="N5" s="25" t="s">
        <v>356</v>
      </c>
      <c r="O5" s="25" t="s">
        <v>357</v>
      </c>
      <c r="P5" s="25" t="s">
        <v>133</v>
      </c>
      <c r="Q5" s="25" t="s">
        <v>157</v>
      </c>
      <c r="R5" s="25" t="s">
        <v>358</v>
      </c>
    </row>
    <row r="6" spans="1:18" ht="24" customHeight="1" x14ac:dyDescent="0.3">
      <c r="A6" s="27">
        <v>2</v>
      </c>
      <c r="B6" s="27" t="s">
        <v>359</v>
      </c>
      <c r="C6" s="27" t="s">
        <v>114</v>
      </c>
      <c r="D6" s="27" t="s">
        <v>350</v>
      </c>
      <c r="E6" s="27" t="s">
        <v>351</v>
      </c>
      <c r="F6" s="27" t="s">
        <v>352</v>
      </c>
      <c r="G6" s="38" t="s">
        <v>353</v>
      </c>
      <c r="H6" s="27" t="s">
        <v>354</v>
      </c>
      <c r="I6" s="39">
        <v>1210000</v>
      </c>
      <c r="J6" s="39">
        <v>650</v>
      </c>
      <c r="K6" s="39">
        <v>1800</v>
      </c>
      <c r="L6" s="113">
        <f t="shared" si="0"/>
        <v>1861.5384615384614</v>
      </c>
      <c r="M6" s="27" t="s">
        <v>155</v>
      </c>
      <c r="N6" s="27" t="s">
        <v>360</v>
      </c>
      <c r="O6" s="27" t="s">
        <v>357</v>
      </c>
      <c r="P6" s="27" t="s">
        <v>139</v>
      </c>
      <c r="Q6" s="27" t="s">
        <v>361</v>
      </c>
      <c r="R6" s="27" t="s">
        <v>358</v>
      </c>
    </row>
    <row r="7" spans="1:18" ht="24" customHeight="1" x14ac:dyDescent="0.3">
      <c r="A7" s="25">
        <v>3</v>
      </c>
      <c r="B7" s="25" t="s">
        <v>362</v>
      </c>
      <c r="C7" s="25" t="s">
        <v>114</v>
      </c>
      <c r="D7" s="25" t="s">
        <v>350</v>
      </c>
      <c r="E7" s="25" t="s">
        <v>351</v>
      </c>
      <c r="F7" s="25" t="s">
        <v>352</v>
      </c>
      <c r="G7" s="36" t="s">
        <v>353</v>
      </c>
      <c r="H7" s="25" t="s">
        <v>363</v>
      </c>
      <c r="I7" s="37">
        <v>1529388</v>
      </c>
      <c r="J7" s="37">
        <v>700</v>
      </c>
      <c r="K7" s="37">
        <v>2100</v>
      </c>
      <c r="L7" s="112">
        <f t="shared" si="0"/>
        <v>2184.84</v>
      </c>
      <c r="M7" s="25" t="s">
        <v>219</v>
      </c>
      <c r="N7" s="25" t="s">
        <v>364</v>
      </c>
      <c r="O7" s="25" t="s">
        <v>357</v>
      </c>
      <c r="P7" s="25" t="s">
        <v>133</v>
      </c>
      <c r="Q7" s="25" t="s">
        <v>157</v>
      </c>
      <c r="R7" s="25" t="s">
        <v>358</v>
      </c>
    </row>
    <row r="8" spans="1:18" ht="24" customHeight="1" x14ac:dyDescent="0.3">
      <c r="A8" s="27">
        <v>4</v>
      </c>
      <c r="B8" s="27" t="s">
        <v>365</v>
      </c>
      <c r="C8" s="27" t="s">
        <v>114</v>
      </c>
      <c r="D8" s="27" t="s">
        <v>350</v>
      </c>
      <c r="E8" s="27" t="s">
        <v>366</v>
      </c>
      <c r="F8" s="27" t="s">
        <v>352</v>
      </c>
      <c r="G8" s="38" t="s">
        <v>353</v>
      </c>
      <c r="H8" s="27" t="s">
        <v>367</v>
      </c>
      <c r="I8" s="39">
        <v>2756888</v>
      </c>
      <c r="J8" s="39">
        <v>900</v>
      </c>
      <c r="K8" s="39">
        <v>2800</v>
      </c>
      <c r="L8" s="113">
        <f t="shared" si="0"/>
        <v>3063.2088888888889</v>
      </c>
      <c r="M8" s="27" t="s">
        <v>219</v>
      </c>
      <c r="N8" s="27" t="s">
        <v>368</v>
      </c>
      <c r="O8" s="27" t="s">
        <v>357</v>
      </c>
      <c r="P8" s="27" t="s">
        <v>134</v>
      </c>
      <c r="Q8" s="27" t="s">
        <v>157</v>
      </c>
      <c r="R8" s="27" t="s">
        <v>358</v>
      </c>
    </row>
    <row r="9" spans="1:18" ht="24" customHeight="1" x14ac:dyDescent="0.3">
      <c r="A9" s="25">
        <v>5</v>
      </c>
      <c r="B9" s="25" t="s">
        <v>369</v>
      </c>
      <c r="C9" s="25" t="s">
        <v>114</v>
      </c>
      <c r="D9" s="25" t="s">
        <v>350</v>
      </c>
      <c r="E9" s="25" t="s">
        <v>351</v>
      </c>
      <c r="F9" s="25" t="s">
        <v>352</v>
      </c>
      <c r="G9" s="36" t="s">
        <v>353</v>
      </c>
      <c r="H9" s="25" t="s">
        <v>367</v>
      </c>
      <c r="I9" s="37">
        <v>1540000</v>
      </c>
      <c r="J9" s="37">
        <v>700</v>
      </c>
      <c r="K9" s="37">
        <v>2000</v>
      </c>
      <c r="L9" s="112">
        <f t="shared" si="0"/>
        <v>2200</v>
      </c>
      <c r="M9" s="25" t="s">
        <v>219</v>
      </c>
      <c r="N9" s="25" t="s">
        <v>370</v>
      </c>
      <c r="O9" s="25" t="s">
        <v>357</v>
      </c>
      <c r="P9" s="25" t="s">
        <v>133</v>
      </c>
      <c r="Q9" s="25" t="s">
        <v>157</v>
      </c>
      <c r="R9" s="25" t="s">
        <v>358</v>
      </c>
    </row>
    <row r="10" spans="1:18" ht="24" customHeight="1" x14ac:dyDescent="0.3">
      <c r="A10" s="27">
        <v>6</v>
      </c>
      <c r="B10" s="27" t="s">
        <v>371</v>
      </c>
      <c r="C10" s="27" t="s">
        <v>114</v>
      </c>
      <c r="D10" s="27" t="s">
        <v>350</v>
      </c>
      <c r="E10" s="27" t="s">
        <v>351</v>
      </c>
      <c r="F10" s="27" t="s">
        <v>352</v>
      </c>
      <c r="G10" s="38" t="s">
        <v>353</v>
      </c>
      <c r="H10" s="27" t="s">
        <v>372</v>
      </c>
      <c r="I10" s="39">
        <v>1626566</v>
      </c>
      <c r="J10" s="39">
        <v>726</v>
      </c>
      <c r="K10" s="39">
        <v>2622</v>
      </c>
      <c r="L10" s="113">
        <f t="shared" si="0"/>
        <v>2240.4490358126723</v>
      </c>
      <c r="M10" s="27" t="s">
        <v>373</v>
      </c>
      <c r="N10" s="27" t="s">
        <v>374</v>
      </c>
      <c r="O10" s="27" t="s">
        <v>357</v>
      </c>
      <c r="P10" s="27" t="s">
        <v>133</v>
      </c>
      <c r="Q10" s="27" t="s">
        <v>157</v>
      </c>
      <c r="R10" s="27" t="s">
        <v>358</v>
      </c>
    </row>
    <row r="11" spans="1:18" ht="24" customHeight="1" x14ac:dyDescent="0.3">
      <c r="A11" s="25">
        <v>7</v>
      </c>
      <c r="B11" s="25" t="s">
        <v>153</v>
      </c>
      <c r="C11" s="25" t="s">
        <v>114</v>
      </c>
      <c r="D11" s="25" t="s">
        <v>350</v>
      </c>
      <c r="E11" s="25" t="s">
        <v>351</v>
      </c>
      <c r="F11" s="25" t="s">
        <v>352</v>
      </c>
      <c r="G11" s="36" t="s">
        <v>353</v>
      </c>
      <c r="H11" s="25" t="s">
        <v>173</v>
      </c>
      <c r="I11" s="37">
        <v>2816888</v>
      </c>
      <c r="J11" s="37">
        <v>741</v>
      </c>
      <c r="K11" s="37">
        <v>2322</v>
      </c>
      <c r="L11" s="112">
        <f t="shared" si="0"/>
        <v>3801.4682860998651</v>
      </c>
      <c r="M11" s="40" t="s">
        <v>156</v>
      </c>
      <c r="N11" s="25" t="s">
        <v>375</v>
      </c>
      <c r="O11" s="25" t="s">
        <v>357</v>
      </c>
      <c r="P11" s="25" t="s">
        <v>134</v>
      </c>
      <c r="Q11" s="25" t="s">
        <v>157</v>
      </c>
      <c r="R11" s="25" t="s">
        <v>358</v>
      </c>
    </row>
    <row r="12" spans="1:18" ht="24" customHeight="1" x14ac:dyDescent="0.3">
      <c r="A12" s="27">
        <v>8</v>
      </c>
      <c r="B12" s="27" t="s">
        <v>376</v>
      </c>
      <c r="C12" s="27" t="s">
        <v>114</v>
      </c>
      <c r="D12" s="27" t="s">
        <v>350</v>
      </c>
      <c r="E12" s="27" t="s">
        <v>366</v>
      </c>
      <c r="F12" s="27" t="s">
        <v>352</v>
      </c>
      <c r="G12" s="38" t="s">
        <v>353</v>
      </c>
      <c r="H12" s="27" t="s">
        <v>173</v>
      </c>
      <c r="I12" s="39">
        <v>1480000</v>
      </c>
      <c r="J12" s="39">
        <v>700</v>
      </c>
      <c r="K12" s="39">
        <v>2200</v>
      </c>
      <c r="L12" s="113">
        <f t="shared" si="0"/>
        <v>2114.2857142857142</v>
      </c>
      <c r="M12" s="27" t="s">
        <v>156</v>
      </c>
      <c r="N12" s="27" t="s">
        <v>377</v>
      </c>
      <c r="O12" s="27" t="s">
        <v>357</v>
      </c>
      <c r="P12" s="27" t="s">
        <v>133</v>
      </c>
      <c r="Q12" s="27" t="s">
        <v>157</v>
      </c>
      <c r="R12" s="27" t="s">
        <v>358</v>
      </c>
    </row>
    <row r="13" spans="1:18" ht="24" customHeight="1" x14ac:dyDescent="0.3">
      <c r="A13" s="25">
        <v>9</v>
      </c>
      <c r="B13" s="25" t="s">
        <v>378</v>
      </c>
      <c r="C13" s="25" t="s">
        <v>114</v>
      </c>
      <c r="D13" s="25" t="s">
        <v>350</v>
      </c>
      <c r="E13" s="25" t="s">
        <v>366</v>
      </c>
      <c r="F13" s="25" t="s">
        <v>352</v>
      </c>
      <c r="G13" s="36" t="s">
        <v>353</v>
      </c>
      <c r="H13" s="25" t="s">
        <v>379</v>
      </c>
      <c r="I13" s="37">
        <v>1760888</v>
      </c>
      <c r="J13" s="37">
        <v>750</v>
      </c>
      <c r="K13" s="37">
        <v>2500</v>
      </c>
      <c r="L13" s="112">
        <f t="shared" si="0"/>
        <v>2347.8506666666667</v>
      </c>
      <c r="M13" s="25" t="s">
        <v>155</v>
      </c>
      <c r="N13" s="25" t="s">
        <v>380</v>
      </c>
      <c r="O13" s="41" t="s">
        <v>381</v>
      </c>
      <c r="P13" s="42" t="s">
        <v>137</v>
      </c>
      <c r="Q13" s="25" t="s">
        <v>157</v>
      </c>
      <c r="R13" s="25" t="s">
        <v>358</v>
      </c>
    </row>
    <row r="14" spans="1:18" ht="24" customHeight="1" x14ac:dyDescent="0.3">
      <c r="A14" s="27">
        <v>10</v>
      </c>
      <c r="B14" s="27" t="s">
        <v>159</v>
      </c>
      <c r="C14" s="27" t="s">
        <v>114</v>
      </c>
      <c r="D14" s="27" t="s">
        <v>350</v>
      </c>
      <c r="E14" s="27" t="s">
        <v>351</v>
      </c>
      <c r="F14" s="27" t="s">
        <v>352</v>
      </c>
      <c r="G14" s="43" t="s">
        <v>382</v>
      </c>
      <c r="H14" s="40" t="s">
        <v>166</v>
      </c>
      <c r="I14" s="40">
        <v>1570000</v>
      </c>
      <c r="J14" s="39">
        <v>700</v>
      </c>
      <c r="K14" s="39">
        <v>2200</v>
      </c>
      <c r="L14" s="110">
        <f t="shared" si="0"/>
        <v>2242.8571428571427</v>
      </c>
      <c r="M14" s="27" t="s">
        <v>155</v>
      </c>
      <c r="N14" s="27" t="s">
        <v>383</v>
      </c>
      <c r="O14" s="27" t="s">
        <v>357</v>
      </c>
      <c r="P14" s="27" t="s">
        <v>133</v>
      </c>
      <c r="Q14" s="27" t="s">
        <v>167</v>
      </c>
      <c r="R14" s="27" t="s">
        <v>384</v>
      </c>
    </row>
    <row r="15" spans="1:18" ht="24" customHeight="1" x14ac:dyDescent="0.3">
      <c r="A15" s="25">
        <v>11</v>
      </c>
      <c r="B15" s="25" t="s">
        <v>385</v>
      </c>
      <c r="C15" s="25" t="s">
        <v>114</v>
      </c>
      <c r="D15" s="25" t="s">
        <v>350</v>
      </c>
      <c r="E15" s="25" t="s">
        <v>351</v>
      </c>
      <c r="F15" s="25" t="s">
        <v>352</v>
      </c>
      <c r="G15" s="44" t="s">
        <v>382</v>
      </c>
      <c r="H15" s="25" t="s">
        <v>166</v>
      </c>
      <c r="I15" s="37">
        <v>1800000</v>
      </c>
      <c r="J15" s="37">
        <v>700</v>
      </c>
      <c r="K15" s="37">
        <v>2200</v>
      </c>
      <c r="L15" s="112">
        <f t="shared" si="0"/>
        <v>2571.4285714285716</v>
      </c>
      <c r="M15" s="25" t="s">
        <v>155</v>
      </c>
      <c r="N15" s="25" t="s">
        <v>386</v>
      </c>
      <c r="O15" s="41" t="s">
        <v>387</v>
      </c>
      <c r="P15" s="42" t="s">
        <v>137</v>
      </c>
      <c r="Q15" s="25" t="s">
        <v>208</v>
      </c>
      <c r="R15" s="25" t="s">
        <v>358</v>
      </c>
    </row>
    <row r="16" spans="1:18" ht="24" customHeight="1" x14ac:dyDescent="0.3">
      <c r="A16" s="27">
        <v>12</v>
      </c>
      <c r="B16" s="27" t="s">
        <v>388</v>
      </c>
      <c r="C16" s="27" t="s">
        <v>114</v>
      </c>
      <c r="D16" s="27" t="s">
        <v>350</v>
      </c>
      <c r="E16" s="27" t="s">
        <v>366</v>
      </c>
      <c r="F16" s="27" t="s">
        <v>352</v>
      </c>
      <c r="G16" s="43" t="s">
        <v>382</v>
      </c>
      <c r="H16" s="27" t="s">
        <v>165</v>
      </c>
      <c r="I16" s="39">
        <v>1770000</v>
      </c>
      <c r="J16" s="39">
        <v>750</v>
      </c>
      <c r="K16" s="39">
        <v>2400</v>
      </c>
      <c r="L16" s="113">
        <f t="shared" si="0"/>
        <v>2360</v>
      </c>
      <c r="M16" s="27" t="s">
        <v>155</v>
      </c>
      <c r="N16" s="27" t="s">
        <v>389</v>
      </c>
      <c r="O16" s="27" t="s">
        <v>357</v>
      </c>
      <c r="P16" s="27" t="s">
        <v>133</v>
      </c>
      <c r="Q16" s="27" t="s">
        <v>361</v>
      </c>
      <c r="R16" s="27" t="s">
        <v>358</v>
      </c>
    </row>
    <row r="17" spans="1:18" ht="24" customHeight="1" x14ac:dyDescent="0.3">
      <c r="A17" s="25">
        <v>13</v>
      </c>
      <c r="B17" s="25" t="s">
        <v>390</v>
      </c>
      <c r="C17" s="25" t="s">
        <v>114</v>
      </c>
      <c r="D17" s="25" t="s">
        <v>350</v>
      </c>
      <c r="E17" s="25" t="s">
        <v>351</v>
      </c>
      <c r="F17" s="25" t="s">
        <v>352</v>
      </c>
      <c r="G17" s="44" t="s">
        <v>382</v>
      </c>
      <c r="H17" s="25" t="s">
        <v>165</v>
      </c>
      <c r="I17" s="37">
        <v>1840000</v>
      </c>
      <c r="J17" s="37">
        <v>700</v>
      </c>
      <c r="K17" s="37">
        <v>2000</v>
      </c>
      <c r="L17" s="112">
        <f t="shared" si="0"/>
        <v>2628.5714285714284</v>
      </c>
      <c r="M17" s="25" t="s">
        <v>155</v>
      </c>
      <c r="N17" s="25" t="s">
        <v>389</v>
      </c>
      <c r="O17" s="25" t="s">
        <v>357</v>
      </c>
      <c r="P17" s="25" t="s">
        <v>133</v>
      </c>
      <c r="Q17" s="25" t="s">
        <v>361</v>
      </c>
      <c r="R17" s="25" t="s">
        <v>358</v>
      </c>
    </row>
    <row r="18" spans="1:18" ht="24" customHeight="1" x14ac:dyDescent="0.3">
      <c r="A18" s="27">
        <v>14</v>
      </c>
      <c r="B18" s="27" t="s">
        <v>391</v>
      </c>
      <c r="C18" s="27" t="s">
        <v>114</v>
      </c>
      <c r="D18" s="27" t="s">
        <v>350</v>
      </c>
      <c r="E18" s="27" t="s">
        <v>392</v>
      </c>
      <c r="F18" s="27" t="s">
        <v>352</v>
      </c>
      <c r="G18" s="43" t="s">
        <v>382</v>
      </c>
      <c r="H18" s="27" t="s">
        <v>173</v>
      </c>
      <c r="I18" s="39">
        <v>1450000</v>
      </c>
      <c r="J18" s="39">
        <v>700</v>
      </c>
      <c r="K18" s="39">
        <v>2200</v>
      </c>
      <c r="L18" s="113">
        <f t="shared" si="0"/>
        <v>2071.4285714285716</v>
      </c>
      <c r="M18" s="27" t="s">
        <v>155</v>
      </c>
      <c r="N18" s="27" t="s">
        <v>383</v>
      </c>
      <c r="O18" s="27" t="s">
        <v>357</v>
      </c>
      <c r="P18" s="27" t="s">
        <v>133</v>
      </c>
      <c r="Q18" s="27" t="s">
        <v>393</v>
      </c>
      <c r="R18" s="27" t="s">
        <v>358</v>
      </c>
    </row>
    <row r="19" spans="1:18" ht="24" customHeight="1" x14ac:dyDescent="0.3">
      <c r="A19" s="25">
        <v>15</v>
      </c>
      <c r="B19" s="25" t="s">
        <v>169</v>
      </c>
      <c r="C19" s="25" t="s">
        <v>114</v>
      </c>
      <c r="D19" s="25" t="s">
        <v>350</v>
      </c>
      <c r="E19" s="25" t="s">
        <v>351</v>
      </c>
      <c r="F19" s="25" t="s">
        <v>352</v>
      </c>
      <c r="G19" s="44" t="s">
        <v>382</v>
      </c>
      <c r="H19" s="25" t="s">
        <v>166</v>
      </c>
      <c r="I19" s="40">
        <v>1600888</v>
      </c>
      <c r="J19" s="37">
        <v>700</v>
      </c>
      <c r="K19" s="37">
        <v>2000</v>
      </c>
      <c r="L19" s="110">
        <f t="shared" si="0"/>
        <v>2286.982857142857</v>
      </c>
      <c r="M19" s="25" t="s">
        <v>155</v>
      </c>
      <c r="N19" s="25" t="s">
        <v>389</v>
      </c>
      <c r="O19" s="25" t="s">
        <v>357</v>
      </c>
      <c r="P19" s="25" t="s">
        <v>133</v>
      </c>
      <c r="Q19" s="25" t="s">
        <v>208</v>
      </c>
      <c r="R19" s="25" t="s">
        <v>384</v>
      </c>
    </row>
    <row r="20" spans="1:18" ht="24" customHeight="1" x14ac:dyDescent="0.3">
      <c r="A20" s="27">
        <v>16</v>
      </c>
      <c r="B20" s="27" t="s">
        <v>394</v>
      </c>
      <c r="C20" s="27" t="s">
        <v>114</v>
      </c>
      <c r="D20" s="27" t="s">
        <v>350</v>
      </c>
      <c r="E20" s="27" t="s">
        <v>351</v>
      </c>
      <c r="F20" s="27" t="s">
        <v>352</v>
      </c>
      <c r="G20" s="43" t="s">
        <v>382</v>
      </c>
      <c r="H20" s="27" t="s">
        <v>173</v>
      </c>
      <c r="I20" s="39">
        <v>1500000</v>
      </c>
      <c r="J20" s="39">
        <v>700</v>
      </c>
      <c r="K20" s="39">
        <v>2200</v>
      </c>
      <c r="L20" s="113">
        <f t="shared" si="0"/>
        <v>2142.8571428571427</v>
      </c>
      <c r="M20" s="27" t="s">
        <v>155</v>
      </c>
      <c r="N20" s="27" t="s">
        <v>386</v>
      </c>
      <c r="O20" s="27" t="s">
        <v>357</v>
      </c>
      <c r="P20" s="27" t="s">
        <v>133</v>
      </c>
      <c r="Q20" s="27" t="s">
        <v>361</v>
      </c>
      <c r="R20" s="27" t="s">
        <v>358</v>
      </c>
    </row>
    <row r="21" spans="1:18" ht="24" customHeight="1" x14ac:dyDescent="0.3">
      <c r="A21" s="25">
        <v>17</v>
      </c>
      <c r="B21" s="25" t="s">
        <v>395</v>
      </c>
      <c r="C21" s="25" t="s">
        <v>116</v>
      </c>
      <c r="D21" s="25" t="s">
        <v>396</v>
      </c>
      <c r="E21" s="25" t="s">
        <v>366</v>
      </c>
      <c r="F21" s="25" t="s">
        <v>397</v>
      </c>
      <c r="G21" s="36" t="s">
        <v>353</v>
      </c>
      <c r="H21" s="25" t="s">
        <v>398</v>
      </c>
      <c r="I21" s="37">
        <v>1669000</v>
      </c>
      <c r="J21" s="37">
        <v>650</v>
      </c>
      <c r="K21" s="37">
        <v>2800</v>
      </c>
      <c r="L21" s="112">
        <f t="shared" si="0"/>
        <v>2567.6923076923076</v>
      </c>
      <c r="M21" s="25" t="s">
        <v>156</v>
      </c>
      <c r="N21" s="25" t="s">
        <v>399</v>
      </c>
      <c r="O21" s="25" t="s">
        <v>357</v>
      </c>
      <c r="P21" s="25" t="s">
        <v>133</v>
      </c>
      <c r="Q21" s="25" t="s">
        <v>157</v>
      </c>
      <c r="R21" s="25" t="s">
        <v>358</v>
      </c>
    </row>
    <row r="22" spans="1:18" ht="24" customHeight="1" x14ac:dyDescent="0.3">
      <c r="A22" s="27">
        <v>18</v>
      </c>
      <c r="B22" s="27" t="s">
        <v>400</v>
      </c>
      <c r="C22" s="27" t="s">
        <v>116</v>
      </c>
      <c r="D22" s="27" t="s">
        <v>396</v>
      </c>
      <c r="E22" s="27" t="s">
        <v>366</v>
      </c>
      <c r="F22" s="27" t="s">
        <v>397</v>
      </c>
      <c r="G22" s="38" t="s">
        <v>353</v>
      </c>
      <c r="H22" s="27" t="s">
        <v>367</v>
      </c>
      <c r="I22" s="39">
        <v>1750000</v>
      </c>
      <c r="J22" s="39">
        <v>700</v>
      </c>
      <c r="K22" s="39">
        <v>2600</v>
      </c>
      <c r="L22" s="113">
        <f t="shared" si="0"/>
        <v>2500</v>
      </c>
      <c r="M22" s="27" t="s">
        <v>219</v>
      </c>
      <c r="N22" s="27" t="s">
        <v>401</v>
      </c>
      <c r="O22" s="27" t="s">
        <v>357</v>
      </c>
      <c r="P22" s="27" t="s">
        <v>134</v>
      </c>
      <c r="Q22" s="27" t="s">
        <v>157</v>
      </c>
      <c r="R22" s="27" t="s">
        <v>358</v>
      </c>
    </row>
    <row r="23" spans="1:18" ht="24" customHeight="1" x14ac:dyDescent="0.3">
      <c r="A23" s="25">
        <v>19</v>
      </c>
      <c r="B23" s="25" t="s">
        <v>402</v>
      </c>
      <c r="C23" s="25" t="s">
        <v>116</v>
      </c>
      <c r="D23" s="25" t="s">
        <v>396</v>
      </c>
      <c r="E23" s="25" t="s">
        <v>366</v>
      </c>
      <c r="F23" s="25" t="s">
        <v>397</v>
      </c>
      <c r="G23" s="36" t="s">
        <v>353</v>
      </c>
      <c r="H23" s="25" t="s">
        <v>403</v>
      </c>
      <c r="I23" s="37">
        <v>1938110</v>
      </c>
      <c r="J23" s="37">
        <v>700</v>
      </c>
      <c r="K23" s="37">
        <v>2800</v>
      </c>
      <c r="L23" s="112">
        <f t="shared" si="0"/>
        <v>2768.7285714285713</v>
      </c>
      <c r="M23" s="25" t="s">
        <v>219</v>
      </c>
      <c r="N23" s="25" t="s">
        <v>404</v>
      </c>
      <c r="O23" s="25" t="s">
        <v>357</v>
      </c>
      <c r="P23" s="25" t="s">
        <v>134</v>
      </c>
      <c r="Q23" s="25" t="s">
        <v>157</v>
      </c>
      <c r="R23" s="25" t="s">
        <v>358</v>
      </c>
    </row>
    <row r="24" spans="1:18" ht="24" customHeight="1" x14ac:dyDescent="0.3">
      <c r="A24" s="27">
        <v>20</v>
      </c>
      <c r="B24" s="27" t="s">
        <v>405</v>
      </c>
      <c r="C24" s="27" t="s">
        <v>116</v>
      </c>
      <c r="D24" s="27" t="s">
        <v>396</v>
      </c>
      <c r="E24" s="27" t="s">
        <v>351</v>
      </c>
      <c r="F24" s="27" t="s">
        <v>352</v>
      </c>
      <c r="G24" s="38" t="s">
        <v>353</v>
      </c>
      <c r="H24" s="27" t="s">
        <v>406</v>
      </c>
      <c r="I24" s="39">
        <v>1814888</v>
      </c>
      <c r="J24" s="39">
        <v>700</v>
      </c>
      <c r="K24" s="39">
        <v>2200</v>
      </c>
      <c r="L24" s="113">
        <f t="shared" si="0"/>
        <v>2592.6971428571428</v>
      </c>
      <c r="M24" s="27" t="s">
        <v>219</v>
      </c>
      <c r="N24" s="27" t="s">
        <v>407</v>
      </c>
      <c r="O24" s="27" t="s">
        <v>357</v>
      </c>
      <c r="P24" s="27" t="s">
        <v>134</v>
      </c>
      <c r="Q24" s="27" t="s">
        <v>157</v>
      </c>
      <c r="R24" s="27" t="s">
        <v>358</v>
      </c>
    </row>
    <row r="25" spans="1:18" ht="24" customHeight="1" x14ac:dyDescent="0.3">
      <c r="A25" s="25">
        <v>21</v>
      </c>
      <c r="B25" s="25" t="s">
        <v>172</v>
      </c>
      <c r="C25" s="25" t="s">
        <v>116</v>
      </c>
      <c r="D25" s="25" t="s">
        <v>396</v>
      </c>
      <c r="E25" s="25" t="s">
        <v>351</v>
      </c>
      <c r="F25" s="25" t="s">
        <v>352</v>
      </c>
      <c r="G25" s="44" t="s">
        <v>382</v>
      </c>
      <c r="H25" s="40" t="s">
        <v>174</v>
      </c>
      <c r="I25" s="37">
        <v>1810000</v>
      </c>
      <c r="J25" s="37">
        <v>700</v>
      </c>
      <c r="K25" s="37">
        <v>2200</v>
      </c>
      <c r="L25" s="112">
        <f t="shared" si="0"/>
        <v>2585.7142857142858</v>
      </c>
      <c r="M25" s="40" t="s">
        <v>156</v>
      </c>
      <c r="N25" s="25" t="s">
        <v>383</v>
      </c>
      <c r="O25" s="25" t="s">
        <v>357</v>
      </c>
      <c r="P25" s="25" t="s">
        <v>134</v>
      </c>
      <c r="Q25" s="25" t="s">
        <v>408</v>
      </c>
      <c r="R25" s="25" t="s">
        <v>384</v>
      </c>
    </row>
    <row r="26" spans="1:18" ht="24" customHeight="1" x14ac:dyDescent="0.3">
      <c r="A26" s="27">
        <v>22</v>
      </c>
      <c r="B26" s="27" t="s">
        <v>177</v>
      </c>
      <c r="C26" s="27" t="s">
        <v>116</v>
      </c>
      <c r="D26" s="27" t="s">
        <v>396</v>
      </c>
      <c r="E26" s="27" t="s">
        <v>351</v>
      </c>
      <c r="F26" s="27" t="s">
        <v>352</v>
      </c>
      <c r="G26" s="43" t="s">
        <v>382</v>
      </c>
      <c r="H26" s="40" t="s">
        <v>174</v>
      </c>
      <c r="I26" s="40">
        <v>1910000</v>
      </c>
      <c r="J26" s="39">
        <v>700</v>
      </c>
      <c r="K26" s="39">
        <v>2200</v>
      </c>
      <c r="L26" s="110">
        <f t="shared" si="0"/>
        <v>2728.5714285714284</v>
      </c>
      <c r="M26" s="27" t="s">
        <v>155</v>
      </c>
      <c r="N26" s="27" t="s">
        <v>389</v>
      </c>
      <c r="O26" s="41" t="s">
        <v>387</v>
      </c>
      <c r="P26" s="45" t="s">
        <v>137</v>
      </c>
      <c r="Q26" s="27" t="s">
        <v>167</v>
      </c>
      <c r="R26" s="27" t="s">
        <v>384</v>
      </c>
    </row>
    <row r="27" spans="1:18" ht="24" customHeight="1" x14ac:dyDescent="0.3">
      <c r="A27" s="25">
        <v>23</v>
      </c>
      <c r="B27" s="25" t="s">
        <v>180</v>
      </c>
      <c r="C27" s="25" t="s">
        <v>116</v>
      </c>
      <c r="D27" s="25" t="s">
        <v>396</v>
      </c>
      <c r="E27" s="25" t="s">
        <v>351</v>
      </c>
      <c r="F27" s="25" t="s">
        <v>352</v>
      </c>
      <c r="G27" s="44" t="s">
        <v>382</v>
      </c>
      <c r="H27" s="25" t="s">
        <v>174</v>
      </c>
      <c r="I27" s="40">
        <v>1790000</v>
      </c>
      <c r="J27" s="37">
        <v>700</v>
      </c>
      <c r="K27" s="37">
        <v>2200</v>
      </c>
      <c r="L27" s="110">
        <f t="shared" si="0"/>
        <v>2557.1428571428573</v>
      </c>
      <c r="M27" s="25" t="s">
        <v>155</v>
      </c>
      <c r="N27" s="25" t="s">
        <v>409</v>
      </c>
      <c r="O27" s="25" t="s">
        <v>357</v>
      </c>
      <c r="P27" s="25" t="s">
        <v>134</v>
      </c>
      <c r="Q27" s="25" t="s">
        <v>167</v>
      </c>
      <c r="R27" s="25" t="s">
        <v>384</v>
      </c>
    </row>
    <row r="28" spans="1:18" ht="24" customHeight="1" x14ac:dyDescent="0.3">
      <c r="A28" s="27">
        <v>24</v>
      </c>
      <c r="B28" s="27" t="s">
        <v>182</v>
      </c>
      <c r="C28" s="27" t="s">
        <v>116</v>
      </c>
      <c r="D28" s="27" t="s">
        <v>396</v>
      </c>
      <c r="E28" s="27" t="s">
        <v>351</v>
      </c>
      <c r="F28" s="27" t="s">
        <v>352</v>
      </c>
      <c r="G28" s="43" t="s">
        <v>382</v>
      </c>
      <c r="H28" s="40" t="s">
        <v>185</v>
      </c>
      <c r="I28" s="40">
        <v>1800000</v>
      </c>
      <c r="J28" s="39">
        <v>700</v>
      </c>
      <c r="K28" s="39">
        <v>2200</v>
      </c>
      <c r="L28" s="110">
        <f t="shared" si="0"/>
        <v>2571.4285714285716</v>
      </c>
      <c r="M28" s="27" t="s">
        <v>156</v>
      </c>
      <c r="N28" s="27" t="s">
        <v>410</v>
      </c>
      <c r="O28" s="27" t="s">
        <v>357</v>
      </c>
      <c r="P28" s="27" t="s">
        <v>134</v>
      </c>
      <c r="Q28" s="27" t="s">
        <v>167</v>
      </c>
      <c r="R28" s="27" t="s">
        <v>384</v>
      </c>
    </row>
    <row r="29" spans="1:18" ht="24" customHeight="1" x14ac:dyDescent="0.3">
      <c r="A29" s="25">
        <v>25</v>
      </c>
      <c r="B29" s="25" t="s">
        <v>187</v>
      </c>
      <c r="C29" s="25" t="s">
        <v>116</v>
      </c>
      <c r="D29" s="25" t="s">
        <v>396</v>
      </c>
      <c r="E29" s="25" t="s">
        <v>351</v>
      </c>
      <c r="F29" s="25" t="s">
        <v>352</v>
      </c>
      <c r="G29" s="44" t="s">
        <v>382</v>
      </c>
      <c r="H29" s="40" t="s">
        <v>189</v>
      </c>
      <c r="I29" s="40">
        <v>1860000</v>
      </c>
      <c r="J29" s="37">
        <v>700</v>
      </c>
      <c r="K29" s="37">
        <v>2200</v>
      </c>
      <c r="L29" s="110">
        <f t="shared" si="0"/>
        <v>2657.1428571428573</v>
      </c>
      <c r="M29" s="25" t="s">
        <v>155</v>
      </c>
      <c r="N29" s="25" t="s">
        <v>410</v>
      </c>
      <c r="O29" s="25" t="s">
        <v>357</v>
      </c>
      <c r="P29" s="25" t="s">
        <v>134</v>
      </c>
      <c r="Q29" s="25" t="s">
        <v>167</v>
      </c>
      <c r="R29" s="25" t="s">
        <v>384</v>
      </c>
    </row>
    <row r="30" spans="1:18" ht="24" customHeight="1" x14ac:dyDescent="0.3">
      <c r="A30" s="27">
        <v>26</v>
      </c>
      <c r="B30" s="27" t="s">
        <v>190</v>
      </c>
      <c r="C30" s="27" t="s">
        <v>116</v>
      </c>
      <c r="D30" s="27" t="s">
        <v>396</v>
      </c>
      <c r="E30" s="27" t="s">
        <v>351</v>
      </c>
      <c r="F30" s="27" t="s">
        <v>352</v>
      </c>
      <c r="G30" s="43" t="s">
        <v>382</v>
      </c>
      <c r="H30" s="27" t="s">
        <v>184</v>
      </c>
      <c r="I30" s="40">
        <v>2684888</v>
      </c>
      <c r="J30" s="39">
        <v>700</v>
      </c>
      <c r="K30" s="39">
        <v>2500</v>
      </c>
      <c r="L30" s="110">
        <f t="shared" si="0"/>
        <v>3835.5542857142859</v>
      </c>
      <c r="M30" s="27" t="s">
        <v>155</v>
      </c>
      <c r="N30" s="27" t="s">
        <v>410</v>
      </c>
      <c r="O30" s="41" t="s">
        <v>381</v>
      </c>
      <c r="P30" s="46" t="s">
        <v>136</v>
      </c>
      <c r="Q30" s="27" t="s">
        <v>167</v>
      </c>
      <c r="R30" s="27" t="s">
        <v>384</v>
      </c>
    </row>
    <row r="31" spans="1:18" ht="24" customHeight="1" x14ac:dyDescent="0.3">
      <c r="A31" s="25">
        <v>27</v>
      </c>
      <c r="B31" s="25" t="s">
        <v>192</v>
      </c>
      <c r="C31" s="25" t="s">
        <v>116</v>
      </c>
      <c r="D31" s="25" t="s">
        <v>396</v>
      </c>
      <c r="E31" s="25" t="s">
        <v>351</v>
      </c>
      <c r="F31" s="25" t="s">
        <v>352</v>
      </c>
      <c r="G31" s="44" t="s">
        <v>382</v>
      </c>
      <c r="H31" s="25" t="s">
        <v>174</v>
      </c>
      <c r="I31" s="40">
        <v>1813888</v>
      </c>
      <c r="J31" s="37">
        <v>700</v>
      </c>
      <c r="K31" s="37">
        <v>2200</v>
      </c>
      <c r="L31" s="110">
        <f t="shared" si="0"/>
        <v>2591.2685714285712</v>
      </c>
      <c r="M31" s="25" t="s">
        <v>155</v>
      </c>
      <c r="N31" s="25" t="s">
        <v>389</v>
      </c>
      <c r="O31" s="25" t="s">
        <v>357</v>
      </c>
      <c r="P31" s="25" t="s">
        <v>134</v>
      </c>
      <c r="Q31" s="25" t="s">
        <v>157</v>
      </c>
      <c r="R31" s="25" t="s">
        <v>358</v>
      </c>
    </row>
    <row r="32" spans="1:18" ht="24" customHeight="1" x14ac:dyDescent="0.3">
      <c r="A32" s="27">
        <v>28</v>
      </c>
      <c r="B32" s="27" t="s">
        <v>411</v>
      </c>
      <c r="C32" s="27" t="s">
        <v>124</v>
      </c>
      <c r="D32" s="27" t="s">
        <v>412</v>
      </c>
      <c r="E32" s="27" t="s">
        <v>413</v>
      </c>
      <c r="F32" s="27" t="s">
        <v>397</v>
      </c>
      <c r="G32" s="38" t="s">
        <v>353</v>
      </c>
      <c r="H32" s="27" t="s">
        <v>398</v>
      </c>
      <c r="I32" s="39">
        <v>3500000</v>
      </c>
      <c r="J32" s="39">
        <v>800</v>
      </c>
      <c r="K32" s="39">
        <v>4500</v>
      </c>
      <c r="L32" s="113">
        <f t="shared" si="0"/>
        <v>4375</v>
      </c>
      <c r="M32" s="27" t="s">
        <v>155</v>
      </c>
      <c r="N32" s="27" t="s">
        <v>414</v>
      </c>
      <c r="O32" s="41" t="s">
        <v>415</v>
      </c>
      <c r="P32" s="46" t="s">
        <v>136</v>
      </c>
      <c r="Q32" s="27" t="s">
        <v>416</v>
      </c>
      <c r="R32" s="27" t="s">
        <v>384</v>
      </c>
    </row>
    <row r="33" spans="1:18" ht="24" customHeight="1" x14ac:dyDescent="0.3">
      <c r="A33" s="25">
        <v>29</v>
      </c>
      <c r="B33" s="25" t="s">
        <v>417</v>
      </c>
      <c r="C33" s="25" t="s">
        <v>124</v>
      </c>
      <c r="D33" s="25" t="s">
        <v>412</v>
      </c>
      <c r="E33" s="25" t="s">
        <v>418</v>
      </c>
      <c r="F33" s="25" t="s">
        <v>397</v>
      </c>
      <c r="G33" s="36" t="s">
        <v>353</v>
      </c>
      <c r="H33" s="25" t="s">
        <v>398</v>
      </c>
      <c r="I33" s="37">
        <v>3200000</v>
      </c>
      <c r="J33" s="37">
        <v>800</v>
      </c>
      <c r="K33" s="37">
        <v>4000</v>
      </c>
      <c r="L33" s="112">
        <f t="shared" si="0"/>
        <v>4000</v>
      </c>
      <c r="M33" s="25" t="s">
        <v>155</v>
      </c>
      <c r="N33" s="25" t="s">
        <v>414</v>
      </c>
      <c r="O33" s="41" t="s">
        <v>415</v>
      </c>
      <c r="P33" s="47" t="s">
        <v>136</v>
      </c>
      <c r="Q33" s="25" t="s">
        <v>416</v>
      </c>
      <c r="R33" s="25" t="s">
        <v>384</v>
      </c>
    </row>
    <row r="34" spans="1:18" ht="24" customHeight="1" x14ac:dyDescent="0.3">
      <c r="A34" s="27">
        <v>30</v>
      </c>
      <c r="B34" s="27" t="s">
        <v>419</v>
      </c>
      <c r="C34" s="27" t="s">
        <v>124</v>
      </c>
      <c r="D34" s="27" t="s">
        <v>412</v>
      </c>
      <c r="E34" s="27" t="s">
        <v>420</v>
      </c>
      <c r="F34" s="27" t="s">
        <v>397</v>
      </c>
      <c r="G34" s="38" t="s">
        <v>353</v>
      </c>
      <c r="H34" s="27" t="s">
        <v>379</v>
      </c>
      <c r="I34" s="39">
        <v>3000000</v>
      </c>
      <c r="J34" s="39">
        <v>750</v>
      </c>
      <c r="K34" s="39">
        <v>3500</v>
      </c>
      <c r="L34" s="113">
        <f t="shared" si="0"/>
        <v>4000</v>
      </c>
      <c r="M34" s="27" t="s">
        <v>155</v>
      </c>
      <c r="N34" s="27" t="s">
        <v>421</v>
      </c>
      <c r="O34" s="27" t="s">
        <v>357</v>
      </c>
      <c r="P34" s="45" t="s">
        <v>138</v>
      </c>
      <c r="Q34" s="27" t="s">
        <v>416</v>
      </c>
      <c r="R34" s="27" t="s">
        <v>384</v>
      </c>
    </row>
    <row r="35" spans="1:18" ht="24" customHeight="1" x14ac:dyDescent="0.3">
      <c r="A35" s="25">
        <v>31</v>
      </c>
      <c r="B35" s="25" t="s">
        <v>422</v>
      </c>
      <c r="C35" s="25" t="s">
        <v>124</v>
      </c>
      <c r="D35" s="25" t="s">
        <v>412</v>
      </c>
      <c r="E35" s="25" t="s">
        <v>351</v>
      </c>
      <c r="F35" s="25" t="s">
        <v>397</v>
      </c>
      <c r="G35" s="36" t="s">
        <v>353</v>
      </c>
      <c r="H35" s="25" t="s">
        <v>406</v>
      </c>
      <c r="I35" s="37">
        <v>3000000</v>
      </c>
      <c r="J35" s="37">
        <v>750</v>
      </c>
      <c r="K35" s="37">
        <v>3500</v>
      </c>
      <c r="L35" s="112">
        <f t="shared" si="0"/>
        <v>4000</v>
      </c>
      <c r="M35" s="25" t="s">
        <v>155</v>
      </c>
      <c r="N35" s="25" t="s">
        <v>423</v>
      </c>
      <c r="O35" s="41" t="s">
        <v>415</v>
      </c>
      <c r="P35" s="47" t="s">
        <v>136</v>
      </c>
      <c r="Q35" s="25" t="s">
        <v>416</v>
      </c>
      <c r="R35" s="25" t="s">
        <v>384</v>
      </c>
    </row>
    <row r="36" spans="1:18" ht="24" customHeight="1" x14ac:dyDescent="0.3">
      <c r="A36" s="27">
        <v>32</v>
      </c>
      <c r="B36" s="27" t="s">
        <v>424</v>
      </c>
      <c r="C36" s="27" t="s">
        <v>124</v>
      </c>
      <c r="D36" s="27" t="s">
        <v>412</v>
      </c>
      <c r="E36" s="27" t="s">
        <v>283</v>
      </c>
      <c r="F36" s="27" t="s">
        <v>397</v>
      </c>
      <c r="G36" s="43" t="s">
        <v>382</v>
      </c>
      <c r="H36" s="27" t="s">
        <v>174</v>
      </c>
      <c r="I36" s="39">
        <v>3500000</v>
      </c>
      <c r="J36" s="39">
        <v>800</v>
      </c>
      <c r="K36" s="39">
        <v>4000</v>
      </c>
      <c r="L36" s="113">
        <f t="shared" si="0"/>
        <v>4375</v>
      </c>
      <c r="M36" s="27" t="s">
        <v>155</v>
      </c>
      <c r="N36" s="27" t="s">
        <v>425</v>
      </c>
      <c r="O36" s="41" t="s">
        <v>426</v>
      </c>
      <c r="P36" s="46" t="s">
        <v>136</v>
      </c>
      <c r="Q36" s="27" t="s">
        <v>416</v>
      </c>
      <c r="R36" s="27" t="s">
        <v>384</v>
      </c>
    </row>
    <row r="37" spans="1:18" ht="24" customHeight="1" x14ac:dyDescent="0.3">
      <c r="A37" s="25">
        <v>33</v>
      </c>
      <c r="B37" s="25" t="s">
        <v>427</v>
      </c>
      <c r="C37" s="25" t="s">
        <v>108</v>
      </c>
      <c r="D37" s="25" t="s">
        <v>428</v>
      </c>
      <c r="E37" s="25" t="s">
        <v>351</v>
      </c>
      <c r="F37" s="25" t="s">
        <v>352</v>
      </c>
      <c r="G37" s="44" t="s">
        <v>382</v>
      </c>
      <c r="H37" s="25" t="s">
        <v>166</v>
      </c>
      <c r="I37" s="37">
        <v>1200000</v>
      </c>
      <c r="J37" s="37">
        <v>650</v>
      </c>
      <c r="K37" s="37">
        <v>1800</v>
      </c>
      <c r="L37" s="112">
        <f t="shared" si="0"/>
        <v>1846.1538461538462</v>
      </c>
      <c r="M37" s="25" t="s">
        <v>156</v>
      </c>
      <c r="N37" s="25" t="s">
        <v>389</v>
      </c>
      <c r="O37" s="25" t="s">
        <v>357</v>
      </c>
      <c r="P37" s="36" t="s">
        <v>140</v>
      </c>
      <c r="Q37" s="25" t="s">
        <v>157</v>
      </c>
      <c r="R37" s="25" t="s">
        <v>358</v>
      </c>
    </row>
    <row r="38" spans="1:18" ht="24" customHeight="1" x14ac:dyDescent="0.3">
      <c r="A38" s="27">
        <v>34</v>
      </c>
      <c r="B38" s="27" t="s">
        <v>194</v>
      </c>
      <c r="C38" s="27" t="s">
        <v>108</v>
      </c>
      <c r="D38" s="27" t="s">
        <v>428</v>
      </c>
      <c r="E38" s="27" t="s">
        <v>366</v>
      </c>
      <c r="F38" s="27" t="s">
        <v>352</v>
      </c>
      <c r="G38" s="43" t="s">
        <v>382</v>
      </c>
      <c r="H38" s="27" t="s">
        <v>174</v>
      </c>
      <c r="I38" s="48">
        <v>1120000</v>
      </c>
      <c r="J38" s="39">
        <v>800</v>
      </c>
      <c r="K38" s="39">
        <v>2500</v>
      </c>
      <c r="L38" s="110">
        <f t="shared" si="0"/>
        <v>1400</v>
      </c>
      <c r="M38" s="27" t="s">
        <v>156</v>
      </c>
      <c r="N38" s="27" t="s">
        <v>389</v>
      </c>
      <c r="O38" s="27" t="s">
        <v>357</v>
      </c>
      <c r="P38" s="27" t="s">
        <v>133</v>
      </c>
      <c r="Q38" s="27" t="s">
        <v>157</v>
      </c>
      <c r="R38" s="27" t="s">
        <v>358</v>
      </c>
    </row>
    <row r="39" spans="1:18" ht="24" customHeight="1" x14ac:dyDescent="0.3">
      <c r="A39" s="25">
        <v>35</v>
      </c>
      <c r="B39" s="25" t="s">
        <v>198</v>
      </c>
      <c r="C39" s="25" t="s">
        <v>429</v>
      </c>
      <c r="D39" s="25" t="s">
        <v>430</v>
      </c>
      <c r="E39" s="25" t="s">
        <v>351</v>
      </c>
      <c r="F39" s="25" t="s">
        <v>352</v>
      </c>
      <c r="G39" s="44" t="s">
        <v>382</v>
      </c>
      <c r="H39" s="40" t="s">
        <v>184</v>
      </c>
      <c r="I39" s="40">
        <v>1550000</v>
      </c>
      <c r="J39" s="37">
        <v>650</v>
      </c>
      <c r="K39" s="37">
        <v>1800</v>
      </c>
      <c r="L39" s="110">
        <f t="shared" si="0"/>
        <v>2384.6153846153848</v>
      </c>
      <c r="M39" s="25" t="s">
        <v>155</v>
      </c>
      <c r="N39" s="25" t="s">
        <v>410</v>
      </c>
      <c r="O39" s="25" t="s">
        <v>357</v>
      </c>
      <c r="P39" s="36" t="s">
        <v>140</v>
      </c>
      <c r="Q39" s="25" t="s">
        <v>167</v>
      </c>
      <c r="R39" s="25" t="s">
        <v>384</v>
      </c>
    </row>
    <row r="40" spans="1:18" ht="24" customHeight="1" x14ac:dyDescent="0.3">
      <c r="A40" s="27">
        <v>36</v>
      </c>
      <c r="B40" s="27" t="s">
        <v>200</v>
      </c>
      <c r="C40" s="27" t="s">
        <v>111</v>
      </c>
      <c r="D40" s="27" t="s">
        <v>431</v>
      </c>
      <c r="E40" s="27" t="s">
        <v>432</v>
      </c>
      <c r="F40" s="27" t="s">
        <v>433</v>
      </c>
      <c r="G40" s="38" t="s">
        <v>353</v>
      </c>
      <c r="H40" s="27" t="s">
        <v>434</v>
      </c>
      <c r="I40" s="48">
        <v>5100000</v>
      </c>
      <c r="J40" s="39">
        <v>4950</v>
      </c>
      <c r="K40" s="39">
        <v>10004</v>
      </c>
      <c r="L40" s="110">
        <f t="shared" si="0"/>
        <v>1030.3030303030303</v>
      </c>
      <c r="M40" s="40" t="s">
        <v>155</v>
      </c>
      <c r="N40" s="27" t="s">
        <v>435</v>
      </c>
      <c r="O40" s="27" t="s">
        <v>357</v>
      </c>
      <c r="P40" s="46" t="s">
        <v>135</v>
      </c>
      <c r="Q40" s="27" t="s">
        <v>157</v>
      </c>
      <c r="R40" s="27" t="s">
        <v>358</v>
      </c>
    </row>
    <row r="41" spans="1:18" ht="24" customHeight="1" x14ac:dyDescent="0.3">
      <c r="A41" s="25">
        <v>37</v>
      </c>
      <c r="B41" s="25" t="s">
        <v>436</v>
      </c>
      <c r="C41" s="25" t="s">
        <v>111</v>
      </c>
      <c r="D41" s="25" t="s">
        <v>431</v>
      </c>
      <c r="E41" s="25" t="s">
        <v>437</v>
      </c>
      <c r="F41" s="25" t="s">
        <v>438</v>
      </c>
      <c r="G41" s="44" t="s">
        <v>382</v>
      </c>
      <c r="H41" s="25" t="s">
        <v>398</v>
      </c>
      <c r="I41" s="37">
        <v>1600000</v>
      </c>
      <c r="J41" s="37">
        <v>2111</v>
      </c>
      <c r="K41" s="37">
        <v>2608</v>
      </c>
      <c r="L41" s="112">
        <f t="shared" si="0"/>
        <v>757.93462813832309</v>
      </c>
      <c r="M41" s="25" t="s">
        <v>155</v>
      </c>
      <c r="N41" s="25" t="s">
        <v>439</v>
      </c>
      <c r="O41" s="25" t="s">
        <v>357</v>
      </c>
      <c r="P41" s="25" t="s">
        <v>139</v>
      </c>
      <c r="Q41" s="25" t="s">
        <v>440</v>
      </c>
      <c r="R41" s="25" t="s">
        <v>384</v>
      </c>
    </row>
    <row r="42" spans="1:18" ht="24" customHeight="1" x14ac:dyDescent="0.3">
      <c r="A42" s="27">
        <v>38</v>
      </c>
      <c r="B42" s="27" t="s">
        <v>441</v>
      </c>
      <c r="C42" s="27" t="s">
        <v>143</v>
      </c>
      <c r="D42" s="27" t="s">
        <v>442</v>
      </c>
      <c r="E42" s="27" t="s">
        <v>432</v>
      </c>
      <c r="F42" s="27" t="s">
        <v>443</v>
      </c>
      <c r="G42" s="43" t="s">
        <v>382</v>
      </c>
      <c r="H42" s="27" t="s">
        <v>166</v>
      </c>
      <c r="I42" s="39">
        <v>5670000</v>
      </c>
      <c r="J42" s="39">
        <v>2948</v>
      </c>
      <c r="K42" s="39">
        <v>5115</v>
      </c>
      <c r="L42" s="113">
        <f t="shared" si="0"/>
        <v>1923.337856173677</v>
      </c>
      <c r="M42" s="27" t="s">
        <v>155</v>
      </c>
      <c r="N42" s="27" t="s">
        <v>383</v>
      </c>
      <c r="O42" s="27" t="s">
        <v>357</v>
      </c>
      <c r="P42" s="46" t="s">
        <v>135</v>
      </c>
      <c r="Q42" s="27" t="s">
        <v>167</v>
      </c>
      <c r="R42" s="27" t="s">
        <v>384</v>
      </c>
    </row>
    <row r="43" spans="1:18" ht="24" customHeight="1" x14ac:dyDescent="0.3">
      <c r="A43" s="25">
        <v>39</v>
      </c>
      <c r="B43" s="25" t="s">
        <v>444</v>
      </c>
      <c r="C43" s="25" t="s">
        <v>143</v>
      </c>
      <c r="D43" s="25" t="s">
        <v>442</v>
      </c>
      <c r="E43" s="25" t="s">
        <v>437</v>
      </c>
      <c r="F43" s="25" t="s">
        <v>438</v>
      </c>
      <c r="G43" s="44" t="s">
        <v>382</v>
      </c>
      <c r="H43" s="25" t="s">
        <v>166</v>
      </c>
      <c r="I43" s="37">
        <v>3700000</v>
      </c>
      <c r="J43" s="37">
        <v>2176</v>
      </c>
      <c r="K43" s="37">
        <v>2176</v>
      </c>
      <c r="L43" s="112">
        <f t="shared" si="0"/>
        <v>1700.3676470588234</v>
      </c>
      <c r="M43" s="25" t="s">
        <v>155</v>
      </c>
      <c r="N43" s="25" t="s">
        <v>389</v>
      </c>
      <c r="O43" s="25" t="s">
        <v>357</v>
      </c>
      <c r="P43" s="42" t="s">
        <v>138</v>
      </c>
      <c r="Q43" s="25" t="s">
        <v>167</v>
      </c>
      <c r="R43" s="25" t="s">
        <v>384</v>
      </c>
    </row>
    <row r="44" spans="1:18" ht="24" customHeight="1" x14ac:dyDescent="0.3">
      <c r="A44" s="27">
        <v>40</v>
      </c>
      <c r="B44" s="27" t="s">
        <v>445</v>
      </c>
      <c r="C44" s="27" t="s">
        <v>143</v>
      </c>
      <c r="D44" s="27" t="s">
        <v>442</v>
      </c>
      <c r="E44" s="27" t="s">
        <v>437</v>
      </c>
      <c r="F44" s="27" t="s">
        <v>438</v>
      </c>
      <c r="G44" s="43" t="s">
        <v>382</v>
      </c>
      <c r="H44" s="27" t="s">
        <v>166</v>
      </c>
      <c r="I44" s="39">
        <v>3700000</v>
      </c>
      <c r="J44" s="39">
        <v>2176</v>
      </c>
      <c r="K44" s="39">
        <v>2176</v>
      </c>
      <c r="L44" s="113">
        <f t="shared" si="0"/>
        <v>1700.3676470588234</v>
      </c>
      <c r="M44" s="27" t="s">
        <v>155</v>
      </c>
      <c r="N44" s="27" t="s">
        <v>389</v>
      </c>
      <c r="O44" s="27" t="s">
        <v>357</v>
      </c>
      <c r="P44" s="45" t="s">
        <v>138</v>
      </c>
      <c r="Q44" s="27" t="s">
        <v>167</v>
      </c>
      <c r="R44" s="27" t="s">
        <v>384</v>
      </c>
    </row>
    <row r="45" spans="1:18" ht="24" customHeight="1" x14ac:dyDescent="0.3">
      <c r="A45" s="25">
        <v>41</v>
      </c>
      <c r="B45" s="25" t="s">
        <v>204</v>
      </c>
      <c r="C45" s="25" t="s">
        <v>143</v>
      </c>
      <c r="D45" s="25" t="s">
        <v>442</v>
      </c>
      <c r="E45" s="25" t="s">
        <v>432</v>
      </c>
      <c r="F45" s="25" t="s">
        <v>433</v>
      </c>
      <c r="G45" s="44" t="s">
        <v>382</v>
      </c>
      <c r="H45" s="25" t="s">
        <v>184</v>
      </c>
      <c r="I45" s="40">
        <v>7880000</v>
      </c>
      <c r="J45" s="37">
        <v>3800</v>
      </c>
      <c r="K45" s="37">
        <v>5400</v>
      </c>
      <c r="L45" s="110">
        <f t="shared" si="0"/>
        <v>2073.6842105263158</v>
      </c>
      <c r="M45" s="25" t="s">
        <v>155</v>
      </c>
      <c r="N45" s="25" t="s">
        <v>409</v>
      </c>
      <c r="O45" s="25" t="s">
        <v>357</v>
      </c>
      <c r="P45" s="47" t="s">
        <v>135</v>
      </c>
      <c r="Q45" s="25" t="s">
        <v>167</v>
      </c>
      <c r="R45" s="25" t="s">
        <v>384</v>
      </c>
    </row>
    <row r="46" spans="1:18" ht="24" customHeight="1" x14ac:dyDescent="0.3">
      <c r="A46" s="27">
        <v>42</v>
      </c>
      <c r="B46" s="27" t="s">
        <v>206</v>
      </c>
      <c r="C46" s="27" t="s">
        <v>143</v>
      </c>
      <c r="D46" s="27" t="s">
        <v>442</v>
      </c>
      <c r="E46" s="27" t="s">
        <v>432</v>
      </c>
      <c r="F46" s="27" t="s">
        <v>443</v>
      </c>
      <c r="G46" s="43" t="s">
        <v>382</v>
      </c>
      <c r="H46" s="27" t="s">
        <v>166</v>
      </c>
      <c r="I46" s="40">
        <v>6200000</v>
      </c>
      <c r="J46" s="39">
        <v>2948</v>
      </c>
      <c r="K46" s="39">
        <v>5115</v>
      </c>
      <c r="L46" s="110">
        <f t="shared" si="0"/>
        <v>2103.120759837178</v>
      </c>
      <c r="M46" s="27" t="s">
        <v>155</v>
      </c>
      <c r="N46" s="27" t="s">
        <v>389</v>
      </c>
      <c r="O46" s="27" t="s">
        <v>357</v>
      </c>
      <c r="P46" s="46" t="s">
        <v>135</v>
      </c>
      <c r="Q46" s="27" t="s">
        <v>208</v>
      </c>
      <c r="R46" s="27" t="s">
        <v>384</v>
      </c>
    </row>
    <row r="47" spans="1:18" ht="24" customHeight="1" x14ac:dyDescent="0.3">
      <c r="A47" s="25">
        <v>43</v>
      </c>
      <c r="B47" s="25" t="s">
        <v>209</v>
      </c>
      <c r="C47" s="25" t="s">
        <v>143</v>
      </c>
      <c r="D47" s="25" t="s">
        <v>442</v>
      </c>
      <c r="E47" s="25" t="s">
        <v>432</v>
      </c>
      <c r="F47" s="25" t="s">
        <v>443</v>
      </c>
      <c r="G47" s="44" t="s">
        <v>382</v>
      </c>
      <c r="H47" s="25" t="s">
        <v>166</v>
      </c>
      <c r="I47" s="40">
        <v>6200000</v>
      </c>
      <c r="J47" s="37">
        <v>2948</v>
      </c>
      <c r="K47" s="37">
        <v>5115</v>
      </c>
      <c r="L47" s="110">
        <f t="shared" si="0"/>
        <v>2103.120759837178</v>
      </c>
      <c r="M47" s="25" t="s">
        <v>155</v>
      </c>
      <c r="N47" s="25" t="s">
        <v>409</v>
      </c>
      <c r="O47" s="25" t="s">
        <v>357</v>
      </c>
      <c r="P47" s="47" t="s">
        <v>135</v>
      </c>
      <c r="Q47" s="25" t="s">
        <v>208</v>
      </c>
      <c r="R47" s="25" t="s">
        <v>384</v>
      </c>
    </row>
    <row r="48" spans="1:18" ht="24" customHeight="1" x14ac:dyDescent="0.3">
      <c r="A48" s="27">
        <v>44</v>
      </c>
      <c r="B48" s="27" t="s">
        <v>210</v>
      </c>
      <c r="C48" s="27" t="s">
        <v>119</v>
      </c>
      <c r="D48" s="27" t="s">
        <v>446</v>
      </c>
      <c r="E48" s="27" t="s">
        <v>351</v>
      </c>
      <c r="F48" s="27" t="s">
        <v>352</v>
      </c>
      <c r="G48" s="43" t="s">
        <v>382</v>
      </c>
      <c r="H48" s="40" t="s">
        <v>185</v>
      </c>
      <c r="I48" s="48">
        <v>2310000</v>
      </c>
      <c r="J48" s="39">
        <v>700</v>
      </c>
      <c r="K48" s="39">
        <v>2500</v>
      </c>
      <c r="L48" s="110">
        <f t="shared" si="0"/>
        <v>3300</v>
      </c>
      <c r="M48" s="27" t="s">
        <v>156</v>
      </c>
      <c r="N48" s="27" t="s">
        <v>410</v>
      </c>
      <c r="O48" s="27" t="s">
        <v>357</v>
      </c>
      <c r="P48" s="27" t="s">
        <v>134</v>
      </c>
      <c r="Q48" s="27" t="s">
        <v>157</v>
      </c>
      <c r="R48" s="27" t="s">
        <v>358</v>
      </c>
    </row>
    <row r="49" spans="1:18" ht="24" customHeight="1" x14ac:dyDescent="0.3">
      <c r="A49" s="25">
        <v>45</v>
      </c>
      <c r="B49" s="25" t="s">
        <v>447</v>
      </c>
      <c r="C49" s="25" t="s">
        <v>119</v>
      </c>
      <c r="D49" s="25" t="s">
        <v>446</v>
      </c>
      <c r="E49" s="25" t="s">
        <v>351</v>
      </c>
      <c r="F49" s="25" t="s">
        <v>397</v>
      </c>
      <c r="G49" s="44" t="s">
        <v>382</v>
      </c>
      <c r="H49" s="25" t="s">
        <v>184</v>
      </c>
      <c r="I49" s="37">
        <v>2100000</v>
      </c>
      <c r="J49" s="37">
        <v>700</v>
      </c>
      <c r="K49" s="37">
        <v>3000</v>
      </c>
      <c r="L49" s="112">
        <f t="shared" si="0"/>
        <v>3000</v>
      </c>
      <c r="M49" s="25" t="s">
        <v>155</v>
      </c>
      <c r="N49" s="25" t="s">
        <v>389</v>
      </c>
      <c r="O49" s="41" t="s">
        <v>387</v>
      </c>
      <c r="P49" s="42" t="s">
        <v>137</v>
      </c>
      <c r="Q49" s="25" t="s">
        <v>157</v>
      </c>
      <c r="R49" s="25" t="s">
        <v>358</v>
      </c>
    </row>
    <row r="50" spans="1:18" ht="24" customHeight="1" x14ac:dyDescent="0.3">
      <c r="A50" s="27">
        <v>46</v>
      </c>
      <c r="B50" s="27" t="s">
        <v>214</v>
      </c>
      <c r="C50" s="27" t="s">
        <v>127</v>
      </c>
      <c r="D50" s="27" t="s">
        <v>448</v>
      </c>
      <c r="E50" s="27" t="s">
        <v>432</v>
      </c>
      <c r="F50" s="27" t="s">
        <v>449</v>
      </c>
      <c r="G50" s="43" t="s">
        <v>382</v>
      </c>
      <c r="H50" s="40" t="s">
        <v>189</v>
      </c>
      <c r="I50" s="39">
        <v>13830000</v>
      </c>
      <c r="J50" s="39">
        <v>7200</v>
      </c>
      <c r="K50" s="39">
        <v>12700</v>
      </c>
      <c r="L50" s="113">
        <f t="shared" si="0"/>
        <v>1920.8333333333333</v>
      </c>
      <c r="M50" s="27" t="s">
        <v>155</v>
      </c>
      <c r="N50" s="27" t="s">
        <v>389</v>
      </c>
      <c r="O50" s="27" t="s">
        <v>357</v>
      </c>
      <c r="P50" s="46" t="s">
        <v>135</v>
      </c>
      <c r="Q50" s="27" t="s">
        <v>450</v>
      </c>
      <c r="R50" s="27" t="s">
        <v>451</v>
      </c>
    </row>
    <row r="51" spans="1:18" ht="24" customHeight="1" x14ac:dyDescent="0.3">
      <c r="A51" s="25">
        <v>47</v>
      </c>
      <c r="B51" s="25" t="s">
        <v>216</v>
      </c>
      <c r="C51" s="25" t="s">
        <v>452</v>
      </c>
      <c r="D51" s="25" t="s">
        <v>453</v>
      </c>
      <c r="E51" s="25" t="s">
        <v>413</v>
      </c>
      <c r="F51" s="25" t="s">
        <v>397</v>
      </c>
      <c r="G51" s="44" t="s">
        <v>382</v>
      </c>
      <c r="H51" s="40" t="s">
        <v>218</v>
      </c>
      <c r="I51" s="40">
        <v>2700000</v>
      </c>
      <c r="J51" s="37">
        <v>750</v>
      </c>
      <c r="K51" s="37">
        <v>3500</v>
      </c>
      <c r="L51" s="110">
        <f t="shared" si="0"/>
        <v>3600</v>
      </c>
      <c r="M51" s="40" t="s">
        <v>219</v>
      </c>
      <c r="N51" s="25" t="s">
        <v>410</v>
      </c>
      <c r="O51" s="41" t="s">
        <v>381</v>
      </c>
      <c r="P51" s="47" t="s">
        <v>136</v>
      </c>
      <c r="Q51" s="25" t="s">
        <v>167</v>
      </c>
      <c r="R51" s="25" t="s">
        <v>384</v>
      </c>
    </row>
    <row r="52" spans="1:18" ht="24" customHeight="1" x14ac:dyDescent="0.3">
      <c r="A52" s="27">
        <v>48</v>
      </c>
      <c r="B52" s="27" t="s">
        <v>454</v>
      </c>
      <c r="C52" s="27" t="s">
        <v>455</v>
      </c>
      <c r="D52" s="27" t="s">
        <v>456</v>
      </c>
      <c r="E52" s="27" t="s">
        <v>437</v>
      </c>
      <c r="F52" s="27" t="s">
        <v>438</v>
      </c>
      <c r="G52" s="43" t="s">
        <v>382</v>
      </c>
      <c r="H52" s="27" t="s">
        <v>184</v>
      </c>
      <c r="I52" s="39">
        <v>2500000</v>
      </c>
      <c r="J52" s="39">
        <v>2200</v>
      </c>
      <c r="K52" s="39">
        <v>3000</v>
      </c>
      <c r="L52" s="113">
        <f t="shared" si="0"/>
        <v>1136.3636363636363</v>
      </c>
      <c r="M52" s="27" t="s">
        <v>155</v>
      </c>
      <c r="N52" s="27" t="s">
        <v>409</v>
      </c>
      <c r="O52" s="27" t="s">
        <v>357</v>
      </c>
      <c r="P52" s="27" t="s">
        <v>133</v>
      </c>
      <c r="Q52" s="27" t="s">
        <v>450</v>
      </c>
      <c r="R52" s="27" t="s">
        <v>451</v>
      </c>
    </row>
  </sheetData>
  <autoFilter ref="A4:R52" xr:uid="{00000000-0009-0000-0000-000003000000}"/>
  <mergeCells count="3">
    <mergeCell ref="A2:R2"/>
    <mergeCell ref="A3:C3"/>
    <mergeCell ref="A1:R1"/>
  </mergeCells>
  <conditionalFormatting sqref="I5:I52">
    <cfRule type="dataBar" priority="3">
      <dataBar>
        <cfvo type="min"/>
        <cfvo type="max"/>
        <color rgb="FFD4A843"/>
      </dataBar>
    </cfRule>
  </conditionalFormatting>
  <conditionalFormatting sqref="L5:L52">
    <cfRule type="dataBar" priority="4">
      <dataBar>
        <cfvo type="min"/>
        <cfvo type="max"/>
        <color rgb="FF00897B"/>
      </dataBar>
    </cfRule>
  </conditionalFormatting>
  <conditionalFormatting sqref="N5:N52">
    <cfRule type="colorScale" priority="2">
      <colorScale>
        <cfvo type="num" val="0"/>
        <cfvo type="num" val="50"/>
        <cfvo type="num" val="100"/>
        <color rgb="FFE3F2FD"/>
        <color rgb="FFFFF8E1"/>
        <color rgb="FFE8F5E9"/>
      </colorScale>
    </cfRule>
  </conditionalFormatting>
  <dataValidations count="3">
    <dataValidation type="list" allowBlank="1" promptTitle="Status" prompt="Select project status" sqref="G5:G52" xr:uid="{00000000-0002-0000-0300-000000000000}">
      <formula1>"Under Construction,Off-Plan"</formula1>
      <formula2>0</formula2>
    </dataValidation>
    <dataValidation type="list" allowBlank="1" promptTitle="Brand" prompt="Select brand" sqref="O5:O52" xr:uid="{00000000-0002-0000-0300-000001000000}">
      <formula1>"No,Address,Vida,Palace,Bristol"</formula1>
      <formula2>0</formula2>
    </dataValidation>
    <dataValidation type="list" allowBlank="1" promptTitle="Investment Tier" prompt="Select investment tier" sqref="P5:P52" xr:uid="{00000000-0002-0000-0300-000002000000}">
      <formula1>"Affordable,Mid-Market,Mid-Premium,Premium,Luxury,Luxury Branded,Ultra-Luxury,Ultra-Luxury Branded"</formula1>
      <formula2>0</formula2>
    </dataValidation>
  </dataValidations>
  <pageMargins left="0.4" right="0.4" top="0.5" bottom="0.5" header="0.3" footer="0.3"/>
  <pageSetup paperSize="9" fitToHeight="0" orientation="landscape" horizontalDpi="300" verticalDpi="300"/>
  <headerFooter>
    <oddHeader>&amp;C&amp;"Arial,Bold"&amp;8 EMAAR PROPERTIES — CONFIDENTIAL</oddHeader>
    <oddFooter>&amp;LCompetition-Grade Research | Feb 2026&amp;CPage &amp;P of &amp;N&amp;RPage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565C0"/>
  </sheetPr>
  <dimension ref="A1:H12"/>
  <sheetViews>
    <sheetView topLeftCell="C1" zoomScaleNormal="100" workbookViewId="0">
      <pane ySplit="3" topLeftCell="A4" activePane="bottomLeft" state="frozen"/>
      <selection activeCell="E1" sqref="E1"/>
      <selection pane="bottomLeft" sqref="A1:H1"/>
    </sheetView>
  </sheetViews>
  <sheetFormatPr defaultColWidth="8.6640625" defaultRowHeight="14.4" x14ac:dyDescent="0.3"/>
  <cols>
    <col min="1" max="1" width="24" customWidth="1"/>
    <col min="2" max="2" width="30" customWidth="1"/>
    <col min="3" max="3" width="24" customWidth="1"/>
    <col min="4" max="4" width="12" customWidth="1"/>
    <col min="5" max="5" width="28" customWidth="1"/>
    <col min="6" max="6" width="16" customWidth="1"/>
    <col min="7" max="7" width="50" customWidth="1"/>
    <col min="8" max="8" width="42" customWidth="1"/>
  </cols>
  <sheetData>
    <row r="1" spans="1:8" ht="33.75" customHeight="1" x14ac:dyDescent="0.4">
      <c r="A1" s="84" t="s">
        <v>457</v>
      </c>
      <c r="B1" s="85"/>
      <c r="C1" s="85"/>
      <c r="D1" s="85"/>
      <c r="E1" s="85"/>
      <c r="F1" s="85"/>
      <c r="G1" s="85"/>
      <c r="H1" s="85"/>
    </row>
    <row r="2" spans="1:8" ht="15" customHeight="1" x14ac:dyDescent="0.3">
      <c r="A2" s="90" t="s">
        <v>458</v>
      </c>
      <c r="B2" s="85"/>
      <c r="C2" s="85"/>
      <c r="D2" s="85"/>
      <c r="E2" s="85"/>
      <c r="F2" s="85"/>
      <c r="G2" s="85"/>
      <c r="H2" s="85"/>
    </row>
    <row r="3" spans="1:8" ht="31.5" customHeight="1" x14ac:dyDescent="0.3">
      <c r="A3" s="23" t="s">
        <v>104</v>
      </c>
      <c r="B3" s="23" t="s">
        <v>459</v>
      </c>
      <c r="C3" s="23" t="s">
        <v>460</v>
      </c>
      <c r="D3" s="23" t="s">
        <v>461</v>
      </c>
      <c r="E3" s="23" t="s">
        <v>462</v>
      </c>
      <c r="F3" s="23" t="s">
        <v>463</v>
      </c>
      <c r="G3" s="23" t="s">
        <v>464</v>
      </c>
      <c r="H3" s="23" t="s">
        <v>465</v>
      </c>
    </row>
    <row r="4" spans="1:8" ht="99.75" customHeight="1" x14ac:dyDescent="0.3">
      <c r="A4" s="24" t="s">
        <v>466</v>
      </c>
      <c r="B4" s="25" t="s">
        <v>467</v>
      </c>
      <c r="C4" s="25" t="s">
        <v>468</v>
      </c>
      <c r="D4" s="36" t="s">
        <v>115</v>
      </c>
      <c r="E4" s="25" t="s">
        <v>469</v>
      </c>
      <c r="F4" s="25" t="s">
        <v>470</v>
      </c>
      <c r="G4" s="25" t="s">
        <v>471</v>
      </c>
      <c r="H4" s="49" t="s">
        <v>472</v>
      </c>
    </row>
    <row r="5" spans="1:8" ht="99.75" customHeight="1" x14ac:dyDescent="0.3">
      <c r="A5" s="26" t="s">
        <v>473</v>
      </c>
      <c r="B5" s="27" t="s">
        <v>474</v>
      </c>
      <c r="C5" s="27" t="s">
        <v>475</v>
      </c>
      <c r="D5" s="38" t="s">
        <v>118</v>
      </c>
      <c r="E5" s="27" t="s">
        <v>476</v>
      </c>
      <c r="F5" s="27" t="s">
        <v>477</v>
      </c>
      <c r="G5" s="27" t="s">
        <v>478</v>
      </c>
      <c r="H5" s="50" t="s">
        <v>479</v>
      </c>
    </row>
    <row r="6" spans="1:8" ht="99.75" customHeight="1" x14ac:dyDescent="0.3">
      <c r="A6" s="24" t="s">
        <v>480</v>
      </c>
      <c r="B6" s="25" t="s">
        <v>481</v>
      </c>
      <c r="C6" s="25" t="s">
        <v>482</v>
      </c>
      <c r="D6" s="36" t="s">
        <v>126</v>
      </c>
      <c r="E6" s="25" t="s">
        <v>483</v>
      </c>
      <c r="F6" s="25" t="s">
        <v>484</v>
      </c>
      <c r="G6" s="25" t="s">
        <v>485</v>
      </c>
      <c r="H6" s="49" t="s">
        <v>486</v>
      </c>
    </row>
    <row r="7" spans="1:8" ht="99.75" customHeight="1" x14ac:dyDescent="0.3">
      <c r="A7" s="26" t="s">
        <v>487</v>
      </c>
      <c r="B7" s="27" t="s">
        <v>488</v>
      </c>
      <c r="C7" s="27" t="s">
        <v>489</v>
      </c>
      <c r="D7" s="38" t="s">
        <v>110</v>
      </c>
      <c r="E7" s="27" t="s">
        <v>490</v>
      </c>
      <c r="F7" s="27" t="s">
        <v>491</v>
      </c>
      <c r="G7" s="27" t="s">
        <v>492</v>
      </c>
      <c r="H7" s="50" t="s">
        <v>493</v>
      </c>
    </row>
    <row r="8" spans="1:8" ht="99.75" customHeight="1" x14ac:dyDescent="0.3">
      <c r="A8" s="24" t="s">
        <v>494</v>
      </c>
      <c r="B8" s="25" t="s">
        <v>495</v>
      </c>
      <c r="C8" s="25" t="s">
        <v>496</v>
      </c>
      <c r="D8" s="36" t="s">
        <v>113</v>
      </c>
      <c r="E8" s="25" t="s">
        <v>497</v>
      </c>
      <c r="F8" s="25" t="s">
        <v>498</v>
      </c>
      <c r="G8" s="25" t="s">
        <v>499</v>
      </c>
      <c r="H8" s="49" t="s">
        <v>500</v>
      </c>
    </row>
    <row r="9" spans="1:8" ht="99.75" customHeight="1" x14ac:dyDescent="0.3">
      <c r="A9" s="26" t="s">
        <v>501</v>
      </c>
      <c r="B9" s="27" t="s">
        <v>502</v>
      </c>
      <c r="C9" s="27" t="s">
        <v>503</v>
      </c>
      <c r="D9" s="38" t="s">
        <v>504</v>
      </c>
      <c r="E9" s="27" t="s">
        <v>505</v>
      </c>
      <c r="F9" s="27" t="s">
        <v>506</v>
      </c>
      <c r="G9" s="27" t="s">
        <v>507</v>
      </c>
      <c r="H9" s="50" t="s">
        <v>508</v>
      </c>
    </row>
    <row r="10" spans="1:8" ht="99.75" customHeight="1" x14ac:dyDescent="0.3">
      <c r="A10" s="24" t="s">
        <v>509</v>
      </c>
      <c r="B10" s="25" t="s">
        <v>510</v>
      </c>
      <c r="C10" s="25" t="s">
        <v>511</v>
      </c>
      <c r="D10" s="36" t="s">
        <v>118</v>
      </c>
      <c r="E10" s="25" t="s">
        <v>512</v>
      </c>
      <c r="F10" s="25" t="s">
        <v>513</v>
      </c>
      <c r="G10" s="25" t="s">
        <v>514</v>
      </c>
      <c r="H10" s="49" t="s">
        <v>515</v>
      </c>
    </row>
    <row r="11" spans="1:8" ht="99.75" customHeight="1" x14ac:dyDescent="0.3">
      <c r="A11" s="26" t="s">
        <v>516</v>
      </c>
      <c r="B11" s="27" t="s">
        <v>517</v>
      </c>
      <c r="C11" s="27" t="s">
        <v>518</v>
      </c>
      <c r="D11" s="38" t="s">
        <v>129</v>
      </c>
      <c r="E11" s="27" t="s">
        <v>519</v>
      </c>
      <c r="F11" s="27" t="s">
        <v>520</v>
      </c>
      <c r="G11" s="27" t="s">
        <v>521</v>
      </c>
      <c r="H11" s="50" t="s">
        <v>522</v>
      </c>
    </row>
    <row r="12" spans="1:8" ht="99.75" customHeight="1" x14ac:dyDescent="0.3">
      <c r="A12" s="24" t="s">
        <v>523</v>
      </c>
      <c r="B12" s="25" t="s">
        <v>524</v>
      </c>
      <c r="C12" s="25" t="s">
        <v>525</v>
      </c>
      <c r="D12" s="36" t="s">
        <v>123</v>
      </c>
      <c r="E12" s="25" t="s">
        <v>526</v>
      </c>
      <c r="F12" s="25" t="s">
        <v>527</v>
      </c>
      <c r="G12" s="25" t="s">
        <v>528</v>
      </c>
      <c r="H12" s="49" t="s">
        <v>529</v>
      </c>
    </row>
  </sheetData>
  <mergeCells count="2">
    <mergeCell ref="A2:H2"/>
    <mergeCell ref="A1:H1"/>
  </mergeCells>
  <pageMargins left="0.4" right="0.4" top="0.5" bottom="0.5" header="0.3" footer="0.3"/>
  <pageSetup paperSize="9" orientation="landscape" horizontalDpi="300" verticalDpi="300"/>
  <headerFooter>
    <oddHeader>&amp;C&amp;"Arial,Bold"&amp;8 EMAAR PROPERTIES — CONFIDENTIAL</oddHeader>
    <oddFooter>&amp;LCompetition-Grade Research | Feb 2026&amp;CPage &amp;P of &amp;N&amp;RPage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7D32"/>
  </sheetPr>
  <dimension ref="A1:F32"/>
  <sheetViews>
    <sheetView topLeftCell="A25" zoomScaleNormal="100" workbookViewId="0">
      <selection activeCell="G6" sqref="G6"/>
    </sheetView>
  </sheetViews>
  <sheetFormatPr defaultColWidth="8.6640625" defaultRowHeight="14.4" x14ac:dyDescent="0.3"/>
  <cols>
    <col min="1" max="1" width="24" customWidth="1"/>
    <col min="2" max="2" width="22" customWidth="1"/>
    <col min="3" max="3" width="20" customWidth="1"/>
    <col min="4" max="4" width="35.5546875" customWidth="1"/>
    <col min="5" max="5" width="48" customWidth="1"/>
  </cols>
  <sheetData>
    <row r="1" spans="1:6" ht="33.75" customHeight="1" x14ac:dyDescent="0.4">
      <c r="A1" s="84" t="s">
        <v>530</v>
      </c>
      <c r="B1" s="85"/>
      <c r="C1" s="85"/>
      <c r="D1" s="85"/>
      <c r="E1" s="85"/>
      <c r="F1" s="85"/>
    </row>
    <row r="2" spans="1:6" ht="15" customHeight="1" x14ac:dyDescent="0.3">
      <c r="A2" s="90" t="s">
        <v>531</v>
      </c>
      <c r="B2" s="85"/>
      <c r="C2" s="85"/>
      <c r="D2" s="85"/>
      <c r="E2" s="85"/>
      <c r="F2" s="85"/>
    </row>
    <row r="4" spans="1:6" ht="15.75" customHeight="1" x14ac:dyDescent="0.3">
      <c r="A4" s="88" t="s">
        <v>532</v>
      </c>
      <c r="B4" s="85"/>
      <c r="C4" s="85"/>
      <c r="D4" s="85"/>
      <c r="E4" s="85"/>
    </row>
    <row r="5" spans="1:6" ht="31.5" customHeight="1" x14ac:dyDescent="0.3">
      <c r="A5" s="23" t="s">
        <v>104</v>
      </c>
      <c r="B5" s="23" t="s">
        <v>533</v>
      </c>
      <c r="C5" s="23" t="s">
        <v>534</v>
      </c>
      <c r="D5" s="23" t="s">
        <v>535</v>
      </c>
      <c r="E5" s="23" t="s">
        <v>536</v>
      </c>
    </row>
    <row r="6" spans="1:6" ht="15" customHeight="1" x14ac:dyDescent="0.3">
      <c r="A6" s="25" t="s">
        <v>114</v>
      </c>
      <c r="B6" s="25" t="s">
        <v>537</v>
      </c>
      <c r="C6" s="37">
        <v>75000</v>
      </c>
      <c r="D6" s="37">
        <v>1529388</v>
      </c>
      <c r="E6" s="51">
        <f t="shared" ref="E6:E21" si="0">C6/D6</f>
        <v>4.9039223532550275E-2</v>
      </c>
    </row>
    <row r="7" spans="1:6" ht="15" customHeight="1" x14ac:dyDescent="0.3">
      <c r="A7" s="27" t="s">
        <v>114</v>
      </c>
      <c r="B7" s="27" t="s">
        <v>538</v>
      </c>
      <c r="C7" s="39">
        <v>110000</v>
      </c>
      <c r="D7" s="39">
        <v>2200000</v>
      </c>
      <c r="E7" s="52">
        <f t="shared" si="0"/>
        <v>0.05</v>
      </c>
    </row>
    <row r="8" spans="1:6" ht="15" customHeight="1" x14ac:dyDescent="0.3">
      <c r="A8" s="25" t="s">
        <v>114</v>
      </c>
      <c r="B8" s="25" t="s">
        <v>539</v>
      </c>
      <c r="C8" s="37">
        <v>160000</v>
      </c>
      <c r="D8" s="37">
        <v>3500000</v>
      </c>
      <c r="E8" s="51">
        <f t="shared" si="0"/>
        <v>4.5714285714285714E-2</v>
      </c>
    </row>
    <row r="9" spans="1:6" ht="15" customHeight="1" x14ac:dyDescent="0.3">
      <c r="A9" s="27" t="s">
        <v>116</v>
      </c>
      <c r="B9" s="27" t="s">
        <v>537</v>
      </c>
      <c r="C9" s="39">
        <v>80000</v>
      </c>
      <c r="D9" s="39">
        <v>1750000</v>
      </c>
      <c r="E9" s="52">
        <f t="shared" si="0"/>
        <v>4.5714285714285714E-2</v>
      </c>
    </row>
    <row r="10" spans="1:6" ht="15" customHeight="1" x14ac:dyDescent="0.3">
      <c r="A10" s="25" t="s">
        <v>116</v>
      </c>
      <c r="B10" s="25" t="s">
        <v>538</v>
      </c>
      <c r="C10" s="37">
        <v>120000</v>
      </c>
      <c r="D10" s="37">
        <v>2500000</v>
      </c>
      <c r="E10" s="51">
        <f t="shared" si="0"/>
        <v>4.8000000000000001E-2</v>
      </c>
    </row>
    <row r="11" spans="1:6" ht="15" customHeight="1" x14ac:dyDescent="0.3">
      <c r="A11" s="27" t="s">
        <v>116</v>
      </c>
      <c r="B11" s="27" t="s">
        <v>539</v>
      </c>
      <c r="C11" s="39">
        <v>170000</v>
      </c>
      <c r="D11" s="39">
        <v>3500000</v>
      </c>
      <c r="E11" s="52">
        <f t="shared" si="0"/>
        <v>4.8571428571428571E-2</v>
      </c>
    </row>
    <row r="12" spans="1:6" ht="15" customHeight="1" x14ac:dyDescent="0.3">
      <c r="A12" s="25" t="s">
        <v>124</v>
      </c>
      <c r="B12" s="25" t="s">
        <v>537</v>
      </c>
      <c r="C12" s="37">
        <v>120000</v>
      </c>
      <c r="D12" s="37">
        <v>3200000</v>
      </c>
      <c r="E12" s="51">
        <f t="shared" si="0"/>
        <v>3.7499999999999999E-2</v>
      </c>
    </row>
    <row r="13" spans="1:6" ht="15" customHeight="1" x14ac:dyDescent="0.3">
      <c r="A13" s="27" t="s">
        <v>124</v>
      </c>
      <c r="B13" s="27" t="s">
        <v>538</v>
      </c>
      <c r="C13" s="39">
        <v>180000</v>
      </c>
      <c r="D13" s="39">
        <v>5000000</v>
      </c>
      <c r="E13" s="52">
        <f t="shared" si="0"/>
        <v>3.5999999999999997E-2</v>
      </c>
    </row>
    <row r="14" spans="1:6" ht="15" customHeight="1" x14ac:dyDescent="0.3">
      <c r="A14" s="25" t="s">
        <v>108</v>
      </c>
      <c r="B14" s="25" t="s">
        <v>537</v>
      </c>
      <c r="C14" s="37">
        <v>60000</v>
      </c>
      <c r="D14" s="37">
        <v>1200000</v>
      </c>
      <c r="E14" s="51">
        <f t="shared" si="0"/>
        <v>0.05</v>
      </c>
    </row>
    <row r="15" spans="1:6" ht="15" customHeight="1" x14ac:dyDescent="0.3">
      <c r="A15" s="27" t="s">
        <v>108</v>
      </c>
      <c r="B15" s="27" t="s">
        <v>538</v>
      </c>
      <c r="C15" s="39">
        <v>85000</v>
      </c>
      <c r="D15" s="39">
        <v>1800000</v>
      </c>
      <c r="E15" s="52">
        <f t="shared" si="0"/>
        <v>4.7222222222222221E-2</v>
      </c>
    </row>
    <row r="16" spans="1:6" ht="15" customHeight="1" x14ac:dyDescent="0.3">
      <c r="A16" s="25" t="s">
        <v>111</v>
      </c>
      <c r="B16" s="25" t="s">
        <v>540</v>
      </c>
      <c r="C16" s="37">
        <v>95000</v>
      </c>
      <c r="D16" s="37">
        <v>1600000</v>
      </c>
      <c r="E16" s="51">
        <f t="shared" si="0"/>
        <v>5.9374999999999997E-2</v>
      </c>
    </row>
    <row r="17" spans="1:5" ht="15" customHeight="1" x14ac:dyDescent="0.3">
      <c r="A17" s="27" t="s">
        <v>111</v>
      </c>
      <c r="B17" s="27" t="s">
        <v>541</v>
      </c>
      <c r="C17" s="39">
        <v>140000</v>
      </c>
      <c r="D17" s="39">
        <v>3000000</v>
      </c>
      <c r="E17" s="52">
        <f t="shared" si="0"/>
        <v>4.6666666666666669E-2</v>
      </c>
    </row>
    <row r="18" spans="1:5" ht="15" customHeight="1" x14ac:dyDescent="0.3">
      <c r="A18" s="25" t="s">
        <v>119</v>
      </c>
      <c r="B18" s="25" t="s">
        <v>537</v>
      </c>
      <c r="C18" s="37">
        <v>85000</v>
      </c>
      <c r="D18" s="37">
        <v>2100000</v>
      </c>
      <c r="E18" s="51">
        <f t="shared" si="0"/>
        <v>4.0476190476190478E-2</v>
      </c>
    </row>
    <row r="19" spans="1:5" ht="15" customHeight="1" x14ac:dyDescent="0.3">
      <c r="A19" s="27" t="s">
        <v>119</v>
      </c>
      <c r="B19" s="27" t="s">
        <v>538</v>
      </c>
      <c r="C19" s="39">
        <v>130000</v>
      </c>
      <c r="D19" s="39">
        <v>3000000</v>
      </c>
      <c r="E19" s="52">
        <f t="shared" si="0"/>
        <v>4.3333333333333335E-2</v>
      </c>
    </row>
    <row r="20" spans="1:5" ht="15" customHeight="1" x14ac:dyDescent="0.3">
      <c r="A20" s="25" t="s">
        <v>542</v>
      </c>
      <c r="B20" s="25" t="s">
        <v>537</v>
      </c>
      <c r="C20" s="37">
        <v>95000</v>
      </c>
      <c r="D20" s="37">
        <v>2500000</v>
      </c>
      <c r="E20" s="51">
        <f t="shared" si="0"/>
        <v>3.7999999999999999E-2</v>
      </c>
    </row>
    <row r="21" spans="1:5" ht="15" customHeight="1" x14ac:dyDescent="0.3">
      <c r="A21" s="27" t="s">
        <v>542</v>
      </c>
      <c r="B21" s="27" t="s">
        <v>538</v>
      </c>
      <c r="C21" s="39">
        <v>145000</v>
      </c>
      <c r="D21" s="39">
        <v>4000000</v>
      </c>
      <c r="E21" s="52">
        <f t="shared" si="0"/>
        <v>3.6249999999999998E-2</v>
      </c>
    </row>
    <row r="24" spans="1:5" ht="15.75" customHeight="1" x14ac:dyDescent="0.3">
      <c r="A24" s="89" t="s">
        <v>543</v>
      </c>
      <c r="B24" s="85"/>
      <c r="C24" s="85"/>
      <c r="D24" s="85"/>
      <c r="E24" s="85"/>
    </row>
    <row r="25" spans="1:5" ht="31.5" customHeight="1" x14ac:dyDescent="0.3">
      <c r="A25" s="23" t="s">
        <v>544</v>
      </c>
      <c r="B25" s="23" t="s">
        <v>545</v>
      </c>
      <c r="C25" s="23" t="s">
        <v>546</v>
      </c>
      <c r="D25" s="23" t="s">
        <v>547</v>
      </c>
      <c r="E25" s="23" t="s">
        <v>548</v>
      </c>
    </row>
    <row r="26" spans="1:5" ht="23.25" customHeight="1" x14ac:dyDescent="0.3">
      <c r="A26" s="24" t="s">
        <v>549</v>
      </c>
      <c r="B26" s="25" t="s">
        <v>550</v>
      </c>
      <c r="C26" s="25" t="s">
        <v>551</v>
      </c>
      <c r="D26" s="25" t="s">
        <v>552</v>
      </c>
      <c r="E26" s="25" t="s">
        <v>553</v>
      </c>
    </row>
    <row r="27" spans="1:5" ht="23.25" customHeight="1" x14ac:dyDescent="0.3">
      <c r="A27" s="26" t="s">
        <v>554</v>
      </c>
      <c r="B27" s="27" t="s">
        <v>555</v>
      </c>
      <c r="C27" s="27" t="s">
        <v>556</v>
      </c>
      <c r="D27" s="27" t="s">
        <v>557</v>
      </c>
      <c r="E27" s="27" t="s">
        <v>558</v>
      </c>
    </row>
    <row r="28" spans="1:5" ht="23.25" customHeight="1" x14ac:dyDescent="0.3">
      <c r="A28" s="24" t="s">
        <v>559</v>
      </c>
      <c r="B28" s="25" t="s">
        <v>560</v>
      </c>
      <c r="C28" s="25" t="s">
        <v>551</v>
      </c>
      <c r="D28" s="25" t="s">
        <v>561</v>
      </c>
      <c r="E28" s="25" t="s">
        <v>562</v>
      </c>
    </row>
    <row r="29" spans="1:5" ht="23.25" customHeight="1" x14ac:dyDescent="0.3">
      <c r="A29" s="26" t="s">
        <v>563</v>
      </c>
      <c r="B29" s="27" t="s">
        <v>564</v>
      </c>
      <c r="C29" s="27" t="s">
        <v>565</v>
      </c>
      <c r="D29" s="27" t="s">
        <v>566</v>
      </c>
      <c r="E29" s="27" t="s">
        <v>567</v>
      </c>
    </row>
    <row r="30" spans="1:5" ht="15" customHeight="1" x14ac:dyDescent="0.3">
      <c r="A30" s="24" t="s">
        <v>568</v>
      </c>
      <c r="B30" s="25" t="s">
        <v>569</v>
      </c>
      <c r="C30" s="25" t="s">
        <v>570</v>
      </c>
      <c r="D30" s="25" t="s">
        <v>571</v>
      </c>
      <c r="E30" s="25" t="s">
        <v>572</v>
      </c>
    </row>
    <row r="31" spans="1:5" ht="23.25" customHeight="1" x14ac:dyDescent="0.3">
      <c r="A31" s="26" t="s">
        <v>573</v>
      </c>
      <c r="B31" s="27" t="s">
        <v>574</v>
      </c>
      <c r="C31" s="27" t="s">
        <v>575</v>
      </c>
      <c r="D31" s="27" t="s">
        <v>576</v>
      </c>
      <c r="E31" s="27" t="s">
        <v>577</v>
      </c>
    </row>
    <row r="32" spans="1:5" ht="23.25" customHeight="1" x14ac:dyDescent="0.3">
      <c r="A32" s="24" t="s">
        <v>578</v>
      </c>
      <c r="B32" s="25" t="s">
        <v>579</v>
      </c>
      <c r="C32" s="25" t="s">
        <v>580</v>
      </c>
      <c r="D32" s="25" t="s">
        <v>581</v>
      </c>
      <c r="E32" s="25" t="s">
        <v>582</v>
      </c>
    </row>
  </sheetData>
  <mergeCells count="4">
    <mergeCell ref="A1:F1"/>
    <mergeCell ref="A2:F2"/>
    <mergeCell ref="A4:E4"/>
    <mergeCell ref="A24:E24"/>
  </mergeCells>
  <conditionalFormatting sqref="C6:C21">
    <cfRule type="dataBar" priority="3">
      <dataBar>
        <cfvo type="min"/>
        <cfvo type="max"/>
        <color rgb="FF1565C0"/>
      </dataBar>
    </cfRule>
  </conditionalFormatting>
  <conditionalFormatting sqref="D6:D21">
    <cfRule type="dataBar" priority="4">
      <dataBar>
        <cfvo type="min"/>
        <cfvo type="max"/>
        <color rgb="FFD4A843"/>
      </dataBar>
    </cfRule>
  </conditionalFormatting>
  <conditionalFormatting sqref="E6:E21">
    <cfRule type="dataBar" priority="2">
      <dataBar>
        <cfvo type="min"/>
        <cfvo type="max"/>
        <color rgb="FF2E7D32"/>
      </dataBar>
    </cfRule>
  </conditionalFormatting>
  <pageMargins left="0.4" right="0.4" top="0.5" bottom="0.5" header="0.3" footer="0.3"/>
  <pageSetup paperSize="9" orientation="landscape" horizontalDpi="300" verticalDpi="300"/>
  <headerFooter>
    <oddHeader>&amp;C&amp;"Arial,Bold"&amp;8 EMAAR PROPERTIES — CONFIDENTIAL</oddHeader>
    <oddFooter>&amp;LCompetition-Grade Research | Feb 2026&amp;CPage &amp;P of &amp;N&amp;RPage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4A843"/>
  </sheetPr>
  <dimension ref="A1:D26"/>
  <sheetViews>
    <sheetView tabSelected="1" zoomScaleNormal="100" workbookViewId="0">
      <selection sqref="A1:D1"/>
    </sheetView>
  </sheetViews>
  <sheetFormatPr defaultColWidth="8.6640625" defaultRowHeight="14.4" x14ac:dyDescent="0.3"/>
  <cols>
    <col min="1" max="1" width="24" customWidth="1"/>
    <col min="2" max="2" width="40" customWidth="1"/>
    <col min="3" max="3" width="36" customWidth="1"/>
    <col min="4" max="4" width="44" customWidth="1"/>
  </cols>
  <sheetData>
    <row r="1" spans="1:4" ht="33.75" customHeight="1" x14ac:dyDescent="0.4">
      <c r="A1" s="84" t="s">
        <v>583</v>
      </c>
      <c r="B1" s="85"/>
      <c r="C1" s="85"/>
      <c r="D1" s="85"/>
    </row>
    <row r="2" spans="1:4" ht="15" customHeight="1" x14ac:dyDescent="0.3">
      <c r="A2" s="90" t="s">
        <v>584</v>
      </c>
      <c r="B2" s="85"/>
      <c r="C2" s="85"/>
      <c r="D2" s="85"/>
    </row>
    <row r="4" spans="1:4" ht="15.75" customHeight="1" x14ac:dyDescent="0.3">
      <c r="A4" s="88" t="s">
        <v>585</v>
      </c>
      <c r="B4" s="85"/>
      <c r="C4" s="85"/>
      <c r="D4" s="85"/>
    </row>
    <row r="5" spans="1:4" ht="31.5" customHeight="1" x14ac:dyDescent="0.3">
      <c r="A5" s="23" t="s">
        <v>586</v>
      </c>
      <c r="B5" s="23" t="s">
        <v>587</v>
      </c>
      <c r="C5" s="23" t="s">
        <v>588</v>
      </c>
      <c r="D5" s="23" t="s">
        <v>589</v>
      </c>
    </row>
    <row r="6" spans="1:4" ht="54.75" customHeight="1" x14ac:dyDescent="0.3">
      <c r="A6" s="24" t="s">
        <v>590</v>
      </c>
      <c r="B6" s="53" t="s">
        <v>591</v>
      </c>
      <c r="C6" s="25" t="s">
        <v>592</v>
      </c>
      <c r="D6" s="24" t="s">
        <v>593</v>
      </c>
    </row>
    <row r="7" spans="1:4" ht="54.75" customHeight="1" x14ac:dyDescent="0.3">
      <c r="A7" s="26" t="s">
        <v>594</v>
      </c>
      <c r="B7" s="54" t="s">
        <v>595</v>
      </c>
      <c r="C7" s="27" t="s">
        <v>596</v>
      </c>
      <c r="D7" s="26" t="s">
        <v>597</v>
      </c>
    </row>
    <row r="8" spans="1:4" ht="54.75" customHeight="1" x14ac:dyDescent="0.3">
      <c r="A8" s="24" t="s">
        <v>254</v>
      </c>
      <c r="B8" s="53" t="s">
        <v>598</v>
      </c>
      <c r="C8" s="25" t="s">
        <v>599</v>
      </c>
      <c r="D8" s="24" t="s">
        <v>600</v>
      </c>
    </row>
    <row r="9" spans="1:4" ht="54.75" customHeight="1" x14ac:dyDescent="0.3">
      <c r="A9" s="26" t="s">
        <v>601</v>
      </c>
      <c r="B9" s="54" t="s">
        <v>602</v>
      </c>
      <c r="C9" s="27" t="s">
        <v>603</v>
      </c>
      <c r="D9" s="26" t="s">
        <v>604</v>
      </c>
    </row>
    <row r="10" spans="1:4" ht="54.75" customHeight="1" x14ac:dyDescent="0.3">
      <c r="A10" s="24" t="s">
        <v>605</v>
      </c>
      <c r="B10" s="53" t="s">
        <v>606</v>
      </c>
      <c r="C10" s="25" t="s">
        <v>607</v>
      </c>
      <c r="D10" s="24" t="s">
        <v>608</v>
      </c>
    </row>
    <row r="11" spans="1:4" ht="54.75" customHeight="1" x14ac:dyDescent="0.3">
      <c r="A11" s="26" t="s">
        <v>283</v>
      </c>
      <c r="B11" s="54" t="s">
        <v>609</v>
      </c>
      <c r="C11" s="27" t="s">
        <v>610</v>
      </c>
      <c r="D11" s="26" t="s">
        <v>611</v>
      </c>
    </row>
    <row r="12" spans="1:4" ht="54.75" customHeight="1" x14ac:dyDescent="0.3">
      <c r="A12" s="24" t="s">
        <v>319</v>
      </c>
      <c r="B12" s="53" t="s">
        <v>612</v>
      </c>
      <c r="C12" s="25" t="s">
        <v>613</v>
      </c>
      <c r="D12" s="24" t="s">
        <v>614</v>
      </c>
    </row>
    <row r="13" spans="1:4" ht="54.75" customHeight="1" x14ac:dyDescent="0.3">
      <c r="A13" s="26" t="s">
        <v>615</v>
      </c>
      <c r="B13" s="54" t="s">
        <v>616</v>
      </c>
      <c r="C13" s="27" t="s">
        <v>617</v>
      </c>
      <c r="D13" s="26" t="s">
        <v>618</v>
      </c>
    </row>
    <row r="14" spans="1:4" ht="54.75" customHeight="1" x14ac:dyDescent="0.3">
      <c r="A14" s="24" t="s">
        <v>619</v>
      </c>
      <c r="B14" s="53" t="s">
        <v>620</v>
      </c>
      <c r="C14" s="25" t="s">
        <v>621</v>
      </c>
      <c r="D14" s="24" t="s">
        <v>622</v>
      </c>
    </row>
    <row r="15" spans="1:4" ht="54.75" customHeight="1" x14ac:dyDescent="0.3">
      <c r="A15" s="26" t="s">
        <v>623</v>
      </c>
      <c r="B15" s="54" t="s">
        <v>624</v>
      </c>
      <c r="C15" s="27" t="s">
        <v>625</v>
      </c>
      <c r="D15" s="26" t="s">
        <v>626</v>
      </c>
    </row>
    <row r="18" spans="1:4" ht="15.75" customHeight="1" x14ac:dyDescent="0.3">
      <c r="A18" s="101" t="s">
        <v>627</v>
      </c>
      <c r="B18" s="85"/>
      <c r="C18" s="85"/>
      <c r="D18" s="85"/>
    </row>
    <row r="19" spans="1:4" ht="31.5" customHeight="1" x14ac:dyDescent="0.3">
      <c r="A19" s="23" t="s">
        <v>628</v>
      </c>
      <c r="B19" s="23" t="s">
        <v>629</v>
      </c>
      <c r="C19" s="23" t="s">
        <v>630</v>
      </c>
      <c r="D19" s="23" t="s">
        <v>631</v>
      </c>
    </row>
    <row r="20" spans="1:4" ht="21.75" customHeight="1" x14ac:dyDescent="0.3">
      <c r="A20" s="24" t="s">
        <v>632</v>
      </c>
      <c r="B20" s="25" t="s">
        <v>633</v>
      </c>
      <c r="C20" s="36" t="s">
        <v>634</v>
      </c>
      <c r="D20" s="55" t="s">
        <v>635</v>
      </c>
    </row>
    <row r="21" spans="1:4" ht="21.75" customHeight="1" x14ac:dyDescent="0.3">
      <c r="A21" s="26" t="s">
        <v>636</v>
      </c>
      <c r="B21" s="27" t="s">
        <v>637</v>
      </c>
      <c r="C21" s="38" t="s">
        <v>638</v>
      </c>
      <c r="D21" s="56" t="s">
        <v>639</v>
      </c>
    </row>
    <row r="22" spans="1:4" ht="21.75" customHeight="1" x14ac:dyDescent="0.3">
      <c r="A22" s="24" t="s">
        <v>640</v>
      </c>
      <c r="B22" s="25" t="s">
        <v>641</v>
      </c>
      <c r="C22" s="36" t="s">
        <v>642</v>
      </c>
      <c r="D22" s="55" t="s">
        <v>643</v>
      </c>
    </row>
    <row r="23" spans="1:4" ht="15" customHeight="1" x14ac:dyDescent="0.3">
      <c r="A23" s="26" t="s">
        <v>644</v>
      </c>
      <c r="B23" s="27" t="s">
        <v>645</v>
      </c>
      <c r="C23" s="38" t="s">
        <v>646</v>
      </c>
      <c r="D23" s="56" t="s">
        <v>647</v>
      </c>
    </row>
    <row r="24" spans="1:4" ht="21.75" customHeight="1" x14ac:dyDescent="0.3">
      <c r="A24" s="24" t="s">
        <v>648</v>
      </c>
      <c r="B24" s="25" t="s">
        <v>649</v>
      </c>
      <c r="C24" s="36" t="s">
        <v>650</v>
      </c>
      <c r="D24" s="55" t="s">
        <v>651</v>
      </c>
    </row>
    <row r="26" spans="1:4" ht="15" customHeight="1" x14ac:dyDescent="0.3">
      <c r="A26" s="102" t="s">
        <v>652</v>
      </c>
      <c r="B26" s="85"/>
      <c r="C26" s="85"/>
      <c r="D26" s="85"/>
    </row>
  </sheetData>
  <mergeCells count="5">
    <mergeCell ref="A1:D1"/>
    <mergeCell ref="A18:D18"/>
    <mergeCell ref="A4:D4"/>
    <mergeCell ref="A26:D26"/>
    <mergeCell ref="A2:D2"/>
  </mergeCells>
  <pageMargins left="0.4" right="0.4" top="0.5" bottom="0.5" header="0.3" footer="0.3"/>
  <pageSetup paperSize="9" orientation="landscape" horizontalDpi="300" verticalDpi="300"/>
  <headerFooter>
    <oddHeader>&amp;C&amp;"Arial,Bold"&amp;8 EMAAR PROPERTIES — CONFIDENTIAL</oddHeader>
    <oddFooter>&amp;LCompetition-Grade Research | Feb 2026&amp;CPage &amp;P of &amp;N&amp;RPage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62828"/>
  </sheetPr>
  <dimension ref="A1:F15"/>
  <sheetViews>
    <sheetView zoomScaleNormal="100" workbookViewId="0">
      <selection activeCell="C10" sqref="C10"/>
    </sheetView>
  </sheetViews>
  <sheetFormatPr defaultColWidth="8.6640625" defaultRowHeight="14.4" x14ac:dyDescent="0.3"/>
  <cols>
    <col min="1" max="1" width="22" customWidth="1"/>
    <col min="2" max="2" width="14" customWidth="1"/>
    <col min="3" max="3" width="52" customWidth="1"/>
    <col min="4" max="5" width="12" customWidth="1"/>
    <col min="6" max="6" width="48" customWidth="1"/>
  </cols>
  <sheetData>
    <row r="1" spans="1:6" ht="33.75" customHeight="1" x14ac:dyDescent="0.4">
      <c r="A1" s="84" t="s">
        <v>653</v>
      </c>
      <c r="B1" s="85"/>
      <c r="C1" s="85"/>
      <c r="D1" s="85"/>
      <c r="E1" s="85"/>
      <c r="F1" s="85"/>
    </row>
    <row r="2" spans="1:6" ht="15" customHeight="1" x14ac:dyDescent="0.3">
      <c r="A2" s="90" t="s">
        <v>654</v>
      </c>
      <c r="B2" s="85"/>
      <c r="C2" s="85"/>
      <c r="D2" s="85"/>
      <c r="E2" s="85"/>
      <c r="F2" s="85"/>
    </row>
    <row r="4" spans="1:6" ht="17.25" customHeight="1" x14ac:dyDescent="0.3">
      <c r="A4" s="103" t="s">
        <v>655</v>
      </c>
      <c r="B4" s="85"/>
      <c r="C4" s="104" t="s">
        <v>656</v>
      </c>
      <c r="D4" s="85"/>
      <c r="E4" s="85"/>
      <c r="F4" s="85"/>
    </row>
    <row r="6" spans="1:6" ht="31.5" customHeight="1" x14ac:dyDescent="0.3">
      <c r="A6" s="23" t="s">
        <v>657</v>
      </c>
      <c r="B6" s="23" t="s">
        <v>658</v>
      </c>
      <c r="C6" s="23" t="s">
        <v>659</v>
      </c>
      <c r="D6" s="23" t="s">
        <v>660</v>
      </c>
      <c r="E6" s="23" t="s">
        <v>661</v>
      </c>
      <c r="F6" s="23" t="s">
        <v>662</v>
      </c>
    </row>
    <row r="7" spans="1:6" ht="60" customHeight="1" x14ac:dyDescent="0.3">
      <c r="A7" s="24" t="s">
        <v>663</v>
      </c>
      <c r="B7" s="57" t="s">
        <v>664</v>
      </c>
      <c r="C7" s="25" t="s">
        <v>665</v>
      </c>
      <c r="D7" s="25" t="s">
        <v>168</v>
      </c>
      <c r="E7" s="25" t="s">
        <v>168</v>
      </c>
      <c r="F7" s="25" t="s">
        <v>666</v>
      </c>
    </row>
    <row r="8" spans="1:6" ht="60" customHeight="1" x14ac:dyDescent="0.3">
      <c r="A8" s="26" t="s">
        <v>667</v>
      </c>
      <c r="B8" s="57" t="s">
        <v>664</v>
      </c>
      <c r="C8" s="27" t="s">
        <v>668</v>
      </c>
      <c r="D8" s="27" t="s">
        <v>168</v>
      </c>
      <c r="E8" s="27" t="s">
        <v>669</v>
      </c>
      <c r="F8" s="27" t="s">
        <v>670</v>
      </c>
    </row>
    <row r="9" spans="1:6" ht="60" customHeight="1" x14ac:dyDescent="0.3">
      <c r="A9" s="24" t="s">
        <v>671</v>
      </c>
      <c r="B9" s="57" t="s">
        <v>672</v>
      </c>
      <c r="C9" s="25" t="s">
        <v>673</v>
      </c>
      <c r="D9" s="25" t="s">
        <v>168</v>
      </c>
      <c r="E9" s="25" t="s">
        <v>168</v>
      </c>
      <c r="F9" s="25" t="s">
        <v>674</v>
      </c>
    </row>
    <row r="10" spans="1:6" ht="60" customHeight="1" x14ac:dyDescent="0.3">
      <c r="A10" s="26" t="s">
        <v>675</v>
      </c>
      <c r="B10" s="28" t="s">
        <v>676</v>
      </c>
      <c r="C10" s="27" t="s">
        <v>677</v>
      </c>
      <c r="D10" s="27" t="s">
        <v>678</v>
      </c>
      <c r="E10" s="27" t="s">
        <v>669</v>
      </c>
      <c r="F10" s="27" t="s">
        <v>679</v>
      </c>
    </row>
    <row r="11" spans="1:6" ht="60" customHeight="1" x14ac:dyDescent="0.3">
      <c r="A11" s="24" t="s">
        <v>680</v>
      </c>
      <c r="B11" s="28" t="s">
        <v>676</v>
      </c>
      <c r="C11" s="25" t="s">
        <v>681</v>
      </c>
      <c r="D11" s="25" t="s">
        <v>678</v>
      </c>
      <c r="E11" s="25" t="s">
        <v>678</v>
      </c>
      <c r="F11" s="25" t="s">
        <v>682</v>
      </c>
    </row>
    <row r="12" spans="1:6" ht="60" customHeight="1" x14ac:dyDescent="0.3">
      <c r="A12" s="26" t="s">
        <v>683</v>
      </c>
      <c r="B12" s="28" t="s">
        <v>684</v>
      </c>
      <c r="C12" s="27" t="s">
        <v>685</v>
      </c>
      <c r="D12" s="27" t="s">
        <v>669</v>
      </c>
      <c r="E12" s="27" t="s">
        <v>168</v>
      </c>
      <c r="F12" s="27" t="s">
        <v>686</v>
      </c>
    </row>
    <row r="13" spans="1:6" ht="60" customHeight="1" x14ac:dyDescent="0.3">
      <c r="A13" s="24" t="s">
        <v>687</v>
      </c>
      <c r="B13" s="28" t="s">
        <v>676</v>
      </c>
      <c r="C13" s="25" t="s">
        <v>688</v>
      </c>
      <c r="D13" s="25" t="s">
        <v>678</v>
      </c>
      <c r="E13" s="25" t="s">
        <v>669</v>
      </c>
      <c r="F13" s="25" t="s">
        <v>689</v>
      </c>
    </row>
    <row r="14" spans="1:6" ht="60" customHeight="1" x14ac:dyDescent="0.3">
      <c r="A14" s="26" t="s">
        <v>690</v>
      </c>
      <c r="B14" s="28" t="s">
        <v>676</v>
      </c>
      <c r="C14" s="27" t="s">
        <v>691</v>
      </c>
      <c r="D14" s="27" t="s">
        <v>678</v>
      </c>
      <c r="E14" s="27" t="s">
        <v>669</v>
      </c>
      <c r="F14" s="27" t="s">
        <v>692</v>
      </c>
    </row>
    <row r="15" spans="1:6" ht="60" customHeight="1" x14ac:dyDescent="0.3">
      <c r="A15" s="24" t="s">
        <v>693</v>
      </c>
      <c r="B15" s="28" t="s">
        <v>684</v>
      </c>
      <c r="C15" s="25" t="s">
        <v>694</v>
      </c>
      <c r="D15" s="25" t="s">
        <v>669</v>
      </c>
      <c r="E15" s="25" t="s">
        <v>669</v>
      </c>
      <c r="F15" s="25" t="s">
        <v>695</v>
      </c>
    </row>
  </sheetData>
  <mergeCells count="4">
    <mergeCell ref="A4:B4"/>
    <mergeCell ref="A2:F2"/>
    <mergeCell ref="C4:F4"/>
    <mergeCell ref="A1:F1"/>
  </mergeCells>
  <conditionalFormatting sqref="B7:B15">
    <cfRule type="cellIs" dxfId="3" priority="2" operator="equal">
      <formula>"VERY LOW"</formula>
    </cfRule>
    <cfRule type="cellIs" dxfId="2" priority="3" operator="equal">
      <formula>"LOW"</formula>
    </cfRule>
    <cfRule type="cellIs" dxfId="1" priority="4" operator="equal">
      <formula>"LOW-MEDIUM"</formula>
    </cfRule>
    <cfRule type="cellIs" dxfId="0" priority="5" operator="equal">
      <formula>"MEDIUM"</formula>
    </cfRule>
  </conditionalFormatting>
  <pageMargins left="0.4" right="0.4" top="0.5" bottom="0.5" header="0.3" footer="0.3"/>
  <pageSetup paperSize="9" orientation="landscape" horizontalDpi="300" verticalDpi="300"/>
  <headerFooter>
    <oddHeader>&amp;C&amp;"Arial,Bold"&amp;8 EMAAR PROPERTIES — CONFIDENTIAL</oddHeader>
    <oddFooter>&amp;LCompetition-Grade Research | Feb 2026&amp;CPage &amp;P of &amp;N&amp;RPage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37474F"/>
  </sheetPr>
  <dimension ref="A1:K46"/>
  <sheetViews>
    <sheetView zoomScaleNormal="100" workbookViewId="0">
      <pane xSplit="2" ySplit="4" topLeftCell="C33" activePane="bottomRight" state="frozen"/>
      <selection pane="topRight" activeCell="C1" sqref="C1"/>
      <selection pane="bottomLeft" activeCell="A5" sqref="A5"/>
      <selection pane="bottomRight" activeCell="N21" sqref="N21"/>
    </sheetView>
  </sheetViews>
  <sheetFormatPr defaultColWidth="8.6640625" defaultRowHeight="14.4" x14ac:dyDescent="0.3"/>
  <cols>
    <col min="1" max="1" width="6" customWidth="1"/>
    <col min="2" max="2" width="26" customWidth="1"/>
    <col min="3" max="3" width="18" customWidth="1"/>
    <col min="4" max="4" width="16" customWidth="1"/>
    <col min="5" max="5" width="12" customWidth="1"/>
    <col min="6" max="6" width="14" customWidth="1"/>
    <col min="7" max="7" width="12" customWidth="1"/>
    <col min="8" max="8" width="14" customWidth="1"/>
    <col min="9" max="9" width="18" customWidth="1"/>
    <col min="10" max="10" width="26" customWidth="1"/>
    <col min="11" max="11" width="28" customWidth="1"/>
    <col min="27" max="27" width="26" customWidth="1"/>
  </cols>
  <sheetData>
    <row r="1" spans="1:11" ht="33.75" customHeight="1" x14ac:dyDescent="0.4">
      <c r="A1" s="84" t="s">
        <v>696</v>
      </c>
      <c r="B1" s="85"/>
      <c r="C1" s="85"/>
      <c r="D1" s="85"/>
      <c r="E1" s="85"/>
      <c r="F1" s="85"/>
      <c r="G1" s="85"/>
      <c r="H1" s="85"/>
      <c r="I1" s="85"/>
      <c r="J1" s="85"/>
      <c r="K1" s="85"/>
    </row>
    <row r="2" spans="1:11" ht="14.25" customHeight="1" x14ac:dyDescent="0.3">
      <c r="A2" s="90" t="s">
        <v>697</v>
      </c>
      <c r="B2" s="85"/>
      <c r="C2" s="85"/>
      <c r="D2" s="85"/>
      <c r="E2" s="85"/>
      <c r="F2" s="85"/>
      <c r="G2" s="85"/>
      <c r="H2" s="85"/>
      <c r="I2" s="85"/>
      <c r="J2" s="85"/>
      <c r="K2" s="85"/>
    </row>
    <row r="3" spans="1:11" ht="14.25" customHeight="1" x14ac:dyDescent="0.3">
      <c r="A3" s="102" t="s">
        <v>698</v>
      </c>
      <c r="B3" s="85"/>
      <c r="C3" s="85"/>
      <c r="D3" s="85"/>
      <c r="E3" s="85"/>
      <c r="F3" s="85"/>
      <c r="G3" s="85"/>
      <c r="H3" s="85"/>
      <c r="I3" s="85"/>
      <c r="J3" s="85"/>
      <c r="K3" s="85"/>
    </row>
    <row r="4" spans="1:11" ht="31.5" customHeight="1" x14ac:dyDescent="0.3">
      <c r="A4" s="23" t="s">
        <v>699</v>
      </c>
      <c r="B4" s="23" t="s">
        <v>82</v>
      </c>
      <c r="C4" s="23" t="s">
        <v>700</v>
      </c>
      <c r="D4" s="23" t="s">
        <v>701</v>
      </c>
      <c r="E4" s="23" t="s">
        <v>702</v>
      </c>
      <c r="F4" s="23" t="s">
        <v>703</v>
      </c>
      <c r="G4" s="23" t="s">
        <v>61</v>
      </c>
      <c r="H4" s="23" t="s">
        <v>704</v>
      </c>
      <c r="I4" s="23" t="s">
        <v>705</v>
      </c>
      <c r="J4" s="23" t="s">
        <v>544</v>
      </c>
      <c r="K4" s="23" t="s">
        <v>706</v>
      </c>
    </row>
    <row r="5" spans="1:11" ht="24" customHeight="1" x14ac:dyDescent="0.3">
      <c r="A5" s="58">
        <v>1</v>
      </c>
      <c r="B5" s="58" t="s">
        <v>84</v>
      </c>
      <c r="C5" s="59">
        <v>65800000000</v>
      </c>
      <c r="D5" s="59">
        <v>17930000000</v>
      </c>
      <c r="E5" s="59">
        <v>13149</v>
      </c>
      <c r="F5" s="59">
        <v>27</v>
      </c>
      <c r="G5" s="59">
        <v>7318</v>
      </c>
      <c r="H5" s="59">
        <v>54</v>
      </c>
      <c r="I5" s="59">
        <v>51032</v>
      </c>
      <c r="J5" s="58" t="s">
        <v>707</v>
      </c>
      <c r="K5" s="60" t="s">
        <v>708</v>
      </c>
    </row>
    <row r="6" spans="1:11" ht="24" customHeight="1" x14ac:dyDescent="0.3">
      <c r="A6" s="27">
        <v>2</v>
      </c>
      <c r="B6" s="27" t="s">
        <v>85</v>
      </c>
      <c r="C6" s="39">
        <v>35900000000</v>
      </c>
      <c r="D6" s="39">
        <v>9780000000</v>
      </c>
      <c r="E6" s="39">
        <v>15393</v>
      </c>
      <c r="F6" s="39">
        <v>12</v>
      </c>
      <c r="G6" s="39">
        <v>2113</v>
      </c>
      <c r="H6" s="39">
        <v>22</v>
      </c>
      <c r="I6" s="39">
        <v>46554</v>
      </c>
      <c r="J6" s="27" t="s">
        <v>709</v>
      </c>
      <c r="K6" s="61" t="s">
        <v>708</v>
      </c>
    </row>
    <row r="7" spans="1:11" ht="24" customHeight="1" x14ac:dyDescent="0.3">
      <c r="A7" s="25">
        <v>3</v>
      </c>
      <c r="B7" s="25" t="s">
        <v>710</v>
      </c>
      <c r="C7" s="37">
        <v>26000000000</v>
      </c>
      <c r="D7" s="37">
        <v>7080000000</v>
      </c>
      <c r="E7" s="37">
        <v>17061</v>
      </c>
      <c r="F7" s="37">
        <v>12</v>
      </c>
      <c r="G7" s="37">
        <v>4093</v>
      </c>
      <c r="H7" s="37">
        <v>25</v>
      </c>
      <c r="I7" s="37">
        <v>38000</v>
      </c>
      <c r="J7" s="25" t="s">
        <v>711</v>
      </c>
      <c r="K7" s="62" t="s">
        <v>708</v>
      </c>
    </row>
    <row r="8" spans="1:11" ht="24" customHeight="1" x14ac:dyDescent="0.3">
      <c r="A8" s="27">
        <v>4</v>
      </c>
      <c r="B8" s="27" t="s">
        <v>712</v>
      </c>
      <c r="C8" s="39">
        <v>24600000000</v>
      </c>
      <c r="D8" s="39">
        <v>6700000000</v>
      </c>
      <c r="E8" s="39">
        <v>4160</v>
      </c>
      <c r="F8" s="39">
        <v>8</v>
      </c>
      <c r="G8" s="39">
        <v>1522</v>
      </c>
      <c r="H8" s="39">
        <v>12</v>
      </c>
      <c r="I8" s="39">
        <v>15000</v>
      </c>
      <c r="J8" s="27" t="s">
        <v>713</v>
      </c>
      <c r="K8" s="61" t="s">
        <v>708</v>
      </c>
    </row>
    <row r="9" spans="1:11" ht="24" customHeight="1" x14ac:dyDescent="0.3">
      <c r="A9" s="25">
        <v>5</v>
      </c>
      <c r="B9" s="25" t="s">
        <v>88</v>
      </c>
      <c r="C9" s="37">
        <v>22400000000</v>
      </c>
      <c r="D9" s="37">
        <v>6100000000</v>
      </c>
      <c r="E9" s="37">
        <v>9698</v>
      </c>
      <c r="F9" s="37">
        <v>6</v>
      </c>
      <c r="G9" s="37">
        <v>2260</v>
      </c>
      <c r="H9" s="37">
        <v>15</v>
      </c>
      <c r="I9" s="37">
        <v>26933</v>
      </c>
      <c r="J9" s="25" t="s">
        <v>714</v>
      </c>
      <c r="K9" s="62" t="s">
        <v>708</v>
      </c>
    </row>
    <row r="10" spans="1:11" ht="24" customHeight="1" x14ac:dyDescent="0.3">
      <c r="A10" s="27">
        <v>6</v>
      </c>
      <c r="B10" s="27" t="s">
        <v>715</v>
      </c>
      <c r="C10" s="39">
        <v>20900000000</v>
      </c>
      <c r="D10" s="39">
        <v>5690000000</v>
      </c>
      <c r="E10" s="39">
        <v>2385</v>
      </c>
      <c r="F10" s="39">
        <v>10</v>
      </c>
      <c r="G10" s="39">
        <v>1913</v>
      </c>
      <c r="H10" s="39">
        <v>8</v>
      </c>
      <c r="I10" s="39">
        <v>12000</v>
      </c>
      <c r="J10" s="27" t="s">
        <v>716</v>
      </c>
      <c r="K10" s="61" t="s">
        <v>708</v>
      </c>
    </row>
    <row r="11" spans="1:11" ht="24" customHeight="1" x14ac:dyDescent="0.3">
      <c r="A11" s="25">
        <v>7</v>
      </c>
      <c r="B11" s="25" t="s">
        <v>90</v>
      </c>
      <c r="C11" s="37">
        <v>11000000000</v>
      </c>
      <c r="D11" s="37">
        <v>2995000000</v>
      </c>
      <c r="E11" s="37">
        <v>1656</v>
      </c>
      <c r="F11" s="37">
        <v>5</v>
      </c>
      <c r="G11" s="37">
        <v>800</v>
      </c>
      <c r="H11" s="37">
        <v>6</v>
      </c>
      <c r="I11" s="37">
        <v>4500</v>
      </c>
      <c r="J11" s="25" t="s">
        <v>135</v>
      </c>
      <c r="K11" s="62" t="s">
        <v>708</v>
      </c>
    </row>
    <row r="12" spans="1:11" ht="24" customHeight="1" x14ac:dyDescent="0.3">
      <c r="A12" s="27">
        <v>8</v>
      </c>
      <c r="B12" s="27" t="s">
        <v>717</v>
      </c>
      <c r="C12" s="39">
        <v>9900000000</v>
      </c>
      <c r="D12" s="39">
        <v>2700000000</v>
      </c>
      <c r="E12" s="39">
        <v>1732</v>
      </c>
      <c r="F12" s="39">
        <v>8</v>
      </c>
      <c r="G12" s="39">
        <v>1200</v>
      </c>
      <c r="H12" s="39">
        <v>10</v>
      </c>
      <c r="I12" s="39">
        <v>18000</v>
      </c>
      <c r="J12" s="27" t="s">
        <v>718</v>
      </c>
      <c r="K12" s="61" t="s">
        <v>708</v>
      </c>
    </row>
    <row r="13" spans="1:11" ht="24" customHeight="1" x14ac:dyDescent="0.3">
      <c r="A13" s="25">
        <v>9</v>
      </c>
      <c r="B13" s="25" t="s">
        <v>719</v>
      </c>
      <c r="C13" s="37">
        <v>8100000000</v>
      </c>
      <c r="D13" s="37">
        <v>2200000000</v>
      </c>
      <c r="E13" s="37">
        <v>1200</v>
      </c>
      <c r="F13" s="37">
        <v>4</v>
      </c>
      <c r="G13" s="37">
        <v>600</v>
      </c>
      <c r="H13" s="37">
        <v>6</v>
      </c>
      <c r="I13" s="37">
        <v>8000</v>
      </c>
      <c r="J13" s="25" t="s">
        <v>720</v>
      </c>
      <c r="K13" s="62" t="s">
        <v>708</v>
      </c>
    </row>
    <row r="14" spans="1:11" ht="24" customHeight="1" x14ac:dyDescent="0.3">
      <c r="A14" s="27">
        <v>10</v>
      </c>
      <c r="B14" s="27" t="s">
        <v>721</v>
      </c>
      <c r="C14" s="39">
        <v>7000000000</v>
      </c>
      <c r="D14" s="39">
        <v>1906000000</v>
      </c>
      <c r="E14" s="39">
        <v>4089</v>
      </c>
      <c r="F14" s="39">
        <v>15</v>
      </c>
      <c r="G14" s="39">
        <v>1757</v>
      </c>
      <c r="H14" s="39">
        <v>18</v>
      </c>
      <c r="I14" s="39">
        <v>22000</v>
      </c>
      <c r="J14" s="27" t="s">
        <v>722</v>
      </c>
      <c r="K14" s="61" t="s">
        <v>708</v>
      </c>
    </row>
    <row r="15" spans="1:11" ht="24" customHeight="1" x14ac:dyDescent="0.3">
      <c r="A15" s="25">
        <v>11</v>
      </c>
      <c r="B15" s="25" t="s">
        <v>723</v>
      </c>
      <c r="C15" s="37">
        <v>6500000000</v>
      </c>
      <c r="D15" s="37">
        <v>1770000000</v>
      </c>
      <c r="E15" s="37">
        <v>4754</v>
      </c>
      <c r="F15" s="37">
        <v>10</v>
      </c>
      <c r="G15" s="37">
        <v>1200</v>
      </c>
      <c r="H15" s="37">
        <v>15</v>
      </c>
      <c r="I15" s="37">
        <v>16000</v>
      </c>
      <c r="J15" s="25" t="s">
        <v>724</v>
      </c>
      <c r="K15" s="63" t="s">
        <v>725</v>
      </c>
    </row>
    <row r="16" spans="1:11" ht="24" customHeight="1" x14ac:dyDescent="0.3">
      <c r="A16" s="27">
        <v>12</v>
      </c>
      <c r="B16" s="27" t="s">
        <v>726</v>
      </c>
      <c r="C16" s="39">
        <v>5500000000</v>
      </c>
      <c r="D16" s="39">
        <v>1498000000</v>
      </c>
      <c r="E16" s="39">
        <v>3479</v>
      </c>
      <c r="F16" s="39">
        <v>8</v>
      </c>
      <c r="G16" s="39">
        <v>2633</v>
      </c>
      <c r="H16" s="39">
        <v>12</v>
      </c>
      <c r="I16" s="39">
        <v>14000</v>
      </c>
      <c r="J16" s="27" t="s">
        <v>139</v>
      </c>
      <c r="K16" s="64" t="s">
        <v>727</v>
      </c>
    </row>
    <row r="17" spans="1:11" ht="24" customHeight="1" x14ac:dyDescent="0.3">
      <c r="A17" s="25">
        <v>13</v>
      </c>
      <c r="B17" s="25" t="s">
        <v>728</v>
      </c>
      <c r="C17" s="37">
        <v>5000000000</v>
      </c>
      <c r="D17" s="37">
        <v>1361000000</v>
      </c>
      <c r="E17" s="37">
        <v>2679</v>
      </c>
      <c r="F17" s="37">
        <v>8</v>
      </c>
      <c r="G17" s="37">
        <v>1500</v>
      </c>
      <c r="H17" s="37">
        <v>10</v>
      </c>
      <c r="I17" s="37">
        <v>12000</v>
      </c>
      <c r="J17" s="25" t="s">
        <v>140</v>
      </c>
      <c r="K17" s="63" t="s">
        <v>729</v>
      </c>
    </row>
    <row r="18" spans="1:11" ht="24" customHeight="1" x14ac:dyDescent="0.3">
      <c r="A18" s="27">
        <v>14</v>
      </c>
      <c r="B18" s="27" t="s">
        <v>730</v>
      </c>
      <c r="C18" s="39">
        <v>4500000000</v>
      </c>
      <c r="D18" s="39">
        <v>1225000000</v>
      </c>
      <c r="E18" s="39">
        <v>1800</v>
      </c>
      <c r="F18" s="39">
        <v>6</v>
      </c>
      <c r="G18" s="39">
        <v>1200</v>
      </c>
      <c r="H18" s="39">
        <v>8</v>
      </c>
      <c r="I18" s="39">
        <v>6000</v>
      </c>
      <c r="J18" s="27" t="s">
        <v>731</v>
      </c>
      <c r="K18" s="64" t="s">
        <v>732</v>
      </c>
    </row>
    <row r="19" spans="1:11" ht="24" customHeight="1" x14ac:dyDescent="0.3">
      <c r="A19" s="25">
        <v>15</v>
      </c>
      <c r="B19" s="25" t="s">
        <v>733</v>
      </c>
      <c r="C19" s="37">
        <v>4000000000</v>
      </c>
      <c r="D19" s="37">
        <v>1089000000</v>
      </c>
      <c r="E19" s="37">
        <v>2680</v>
      </c>
      <c r="F19" s="37">
        <v>9</v>
      </c>
      <c r="G19" s="37">
        <v>860</v>
      </c>
      <c r="H19" s="37">
        <v>17</v>
      </c>
      <c r="I19" s="37">
        <v>4500</v>
      </c>
      <c r="J19" s="25" t="s">
        <v>734</v>
      </c>
      <c r="K19" s="63" t="s">
        <v>735</v>
      </c>
    </row>
    <row r="20" spans="1:11" ht="24" customHeight="1" x14ac:dyDescent="0.3">
      <c r="A20" s="27">
        <v>16</v>
      </c>
      <c r="B20" s="27" t="s">
        <v>736</v>
      </c>
      <c r="C20" s="39">
        <v>3800000000</v>
      </c>
      <c r="D20" s="39">
        <v>1035000000</v>
      </c>
      <c r="E20" s="39">
        <v>2529</v>
      </c>
      <c r="F20" s="39">
        <v>6</v>
      </c>
      <c r="G20" s="39">
        <v>2529</v>
      </c>
      <c r="H20" s="39">
        <v>5</v>
      </c>
      <c r="I20" s="39">
        <v>5000</v>
      </c>
      <c r="J20" s="27" t="s">
        <v>737</v>
      </c>
      <c r="K20" s="64" t="s">
        <v>738</v>
      </c>
    </row>
    <row r="21" spans="1:11" ht="24" customHeight="1" x14ac:dyDescent="0.3">
      <c r="A21" s="25">
        <v>17</v>
      </c>
      <c r="B21" s="25" t="s">
        <v>739</v>
      </c>
      <c r="C21" s="37">
        <v>3500000000</v>
      </c>
      <c r="D21" s="37">
        <v>953000000</v>
      </c>
      <c r="E21" s="37">
        <v>1849</v>
      </c>
      <c r="F21" s="37">
        <v>4</v>
      </c>
      <c r="G21" s="37">
        <v>1849</v>
      </c>
      <c r="H21" s="37">
        <v>5</v>
      </c>
      <c r="I21" s="37">
        <v>6000</v>
      </c>
      <c r="J21" s="25" t="s">
        <v>740</v>
      </c>
      <c r="K21" s="63" t="s">
        <v>741</v>
      </c>
    </row>
    <row r="22" spans="1:11" ht="24" customHeight="1" x14ac:dyDescent="0.3">
      <c r="A22" s="27">
        <v>18</v>
      </c>
      <c r="B22" s="27" t="s">
        <v>742</v>
      </c>
      <c r="C22" s="39">
        <v>3200000000</v>
      </c>
      <c r="D22" s="39">
        <v>871000000</v>
      </c>
      <c r="E22" s="39">
        <v>2800</v>
      </c>
      <c r="F22" s="39">
        <v>5</v>
      </c>
      <c r="G22" s="39">
        <v>2000</v>
      </c>
      <c r="H22" s="39">
        <v>6</v>
      </c>
      <c r="I22" s="39">
        <v>8000</v>
      </c>
      <c r="J22" s="27" t="s">
        <v>743</v>
      </c>
      <c r="K22" s="65" t="s">
        <v>744</v>
      </c>
    </row>
    <row r="23" spans="1:11" ht="24" customHeight="1" x14ac:dyDescent="0.3">
      <c r="A23" s="25">
        <v>19</v>
      </c>
      <c r="B23" s="25" t="s">
        <v>745</v>
      </c>
      <c r="C23" s="37">
        <v>3000000000</v>
      </c>
      <c r="D23" s="37">
        <v>817000000</v>
      </c>
      <c r="E23" s="37">
        <v>2200</v>
      </c>
      <c r="F23" s="37">
        <v>6</v>
      </c>
      <c r="G23" s="37">
        <v>1500</v>
      </c>
      <c r="H23" s="37">
        <v>4</v>
      </c>
      <c r="I23" s="37">
        <v>5000</v>
      </c>
      <c r="J23" s="25" t="s">
        <v>746</v>
      </c>
      <c r="K23" s="66" t="s">
        <v>747</v>
      </c>
    </row>
    <row r="24" spans="1:11" ht="24" customHeight="1" x14ac:dyDescent="0.3">
      <c r="A24" s="27">
        <v>20</v>
      </c>
      <c r="B24" s="27" t="s">
        <v>748</v>
      </c>
      <c r="C24" s="39">
        <v>2800000000</v>
      </c>
      <c r="D24" s="39">
        <v>762000000</v>
      </c>
      <c r="E24" s="39">
        <v>2000</v>
      </c>
      <c r="F24" s="39">
        <v>5</v>
      </c>
      <c r="G24" s="39">
        <v>1500</v>
      </c>
      <c r="H24" s="39">
        <v>6</v>
      </c>
      <c r="I24" s="39">
        <v>5500</v>
      </c>
      <c r="J24" s="27" t="s">
        <v>749</v>
      </c>
      <c r="K24" s="65" t="s">
        <v>750</v>
      </c>
    </row>
    <row r="25" spans="1:11" ht="24" customHeight="1" x14ac:dyDescent="0.3">
      <c r="A25" s="25">
        <v>21</v>
      </c>
      <c r="B25" s="25" t="s">
        <v>751</v>
      </c>
      <c r="C25" s="37">
        <v>2500000000</v>
      </c>
      <c r="D25" s="37">
        <v>681000000</v>
      </c>
      <c r="E25" s="37">
        <v>3000</v>
      </c>
      <c r="F25" s="37">
        <v>7</v>
      </c>
      <c r="G25" s="37">
        <v>1800</v>
      </c>
      <c r="H25" s="37">
        <v>8</v>
      </c>
      <c r="I25" s="37">
        <v>9000</v>
      </c>
      <c r="J25" s="25" t="s">
        <v>722</v>
      </c>
      <c r="K25" s="66" t="s">
        <v>752</v>
      </c>
    </row>
    <row r="26" spans="1:11" ht="24" customHeight="1" x14ac:dyDescent="0.3">
      <c r="A26" s="27">
        <v>22</v>
      </c>
      <c r="B26" s="27" t="s">
        <v>753</v>
      </c>
      <c r="C26" s="39">
        <v>2300000000</v>
      </c>
      <c r="D26" s="39">
        <v>626000000</v>
      </c>
      <c r="E26" s="39">
        <v>2000</v>
      </c>
      <c r="F26" s="39">
        <v>5</v>
      </c>
      <c r="G26" s="39">
        <v>1500</v>
      </c>
      <c r="H26" s="39">
        <v>4</v>
      </c>
      <c r="I26" s="39">
        <v>4500</v>
      </c>
      <c r="J26" s="27" t="s">
        <v>139</v>
      </c>
      <c r="K26" s="65" t="s">
        <v>754</v>
      </c>
    </row>
    <row r="27" spans="1:11" ht="24" customHeight="1" x14ac:dyDescent="0.3">
      <c r="A27" s="25">
        <v>23</v>
      </c>
      <c r="B27" s="25" t="s">
        <v>755</v>
      </c>
      <c r="C27" s="37">
        <v>2200000000</v>
      </c>
      <c r="D27" s="37">
        <v>599000000</v>
      </c>
      <c r="E27" s="37">
        <v>3200</v>
      </c>
      <c r="F27" s="37">
        <v>8</v>
      </c>
      <c r="G27" s="37">
        <v>2200</v>
      </c>
      <c r="H27" s="37">
        <v>6</v>
      </c>
      <c r="I27" s="37">
        <v>7000</v>
      </c>
      <c r="J27" s="25" t="s">
        <v>140</v>
      </c>
      <c r="K27" s="66" t="s">
        <v>744</v>
      </c>
    </row>
    <row r="28" spans="1:11" ht="24" customHeight="1" x14ac:dyDescent="0.3">
      <c r="A28" s="27">
        <v>24</v>
      </c>
      <c r="B28" s="27" t="s">
        <v>756</v>
      </c>
      <c r="C28" s="39">
        <v>2000000000</v>
      </c>
      <c r="D28" s="39">
        <v>545000000</v>
      </c>
      <c r="E28" s="39">
        <v>2500</v>
      </c>
      <c r="F28" s="39">
        <v>6</v>
      </c>
      <c r="G28" s="39">
        <v>1800</v>
      </c>
      <c r="H28" s="39">
        <v>8</v>
      </c>
      <c r="I28" s="39">
        <v>6500</v>
      </c>
      <c r="J28" s="27" t="s">
        <v>757</v>
      </c>
      <c r="K28" s="65" t="s">
        <v>758</v>
      </c>
    </row>
    <row r="29" spans="1:11" ht="24" customHeight="1" x14ac:dyDescent="0.3">
      <c r="A29" s="25">
        <v>25</v>
      </c>
      <c r="B29" s="25" t="s">
        <v>759</v>
      </c>
      <c r="C29" s="37">
        <v>1800000000</v>
      </c>
      <c r="D29" s="37">
        <v>490000000</v>
      </c>
      <c r="E29" s="37">
        <v>1500</v>
      </c>
      <c r="F29" s="37">
        <v>4</v>
      </c>
      <c r="G29" s="37">
        <v>1000</v>
      </c>
      <c r="H29" s="37">
        <v>5</v>
      </c>
      <c r="I29" s="37">
        <v>3500</v>
      </c>
      <c r="J29" s="25" t="s">
        <v>133</v>
      </c>
      <c r="K29" s="66" t="s">
        <v>760</v>
      </c>
    </row>
    <row r="30" spans="1:11" ht="24" customHeight="1" x14ac:dyDescent="0.3">
      <c r="A30" s="27">
        <v>26</v>
      </c>
      <c r="B30" s="27" t="s">
        <v>761</v>
      </c>
      <c r="C30" s="39">
        <v>1600000000</v>
      </c>
      <c r="D30" s="39">
        <v>436000000</v>
      </c>
      <c r="E30" s="39">
        <v>1000</v>
      </c>
      <c r="F30" s="39">
        <v>3</v>
      </c>
      <c r="G30" s="39">
        <v>700</v>
      </c>
      <c r="H30" s="39">
        <v>4</v>
      </c>
      <c r="I30" s="39">
        <v>3000</v>
      </c>
      <c r="J30" s="27" t="s">
        <v>716</v>
      </c>
      <c r="K30" s="65" t="s">
        <v>762</v>
      </c>
    </row>
    <row r="31" spans="1:11" ht="24" customHeight="1" x14ac:dyDescent="0.3">
      <c r="A31" s="25">
        <v>27</v>
      </c>
      <c r="B31" s="25" t="s">
        <v>763</v>
      </c>
      <c r="C31" s="37">
        <v>1500000000</v>
      </c>
      <c r="D31" s="37">
        <v>408000000</v>
      </c>
      <c r="E31" s="37">
        <v>800</v>
      </c>
      <c r="F31" s="37">
        <v>2</v>
      </c>
      <c r="G31" s="37">
        <v>400</v>
      </c>
      <c r="H31" s="37">
        <v>4</v>
      </c>
      <c r="I31" s="37">
        <v>2500</v>
      </c>
      <c r="J31" s="25" t="s">
        <v>764</v>
      </c>
      <c r="K31" s="66" t="s">
        <v>765</v>
      </c>
    </row>
    <row r="32" spans="1:11" ht="24" customHeight="1" x14ac:dyDescent="0.3">
      <c r="A32" s="27">
        <v>28</v>
      </c>
      <c r="B32" s="27" t="s">
        <v>766</v>
      </c>
      <c r="C32" s="39">
        <v>1300000000</v>
      </c>
      <c r="D32" s="39">
        <v>354000000</v>
      </c>
      <c r="E32" s="39">
        <v>1200</v>
      </c>
      <c r="F32" s="39">
        <v>3</v>
      </c>
      <c r="G32" s="39">
        <v>600</v>
      </c>
      <c r="H32" s="39">
        <v>4</v>
      </c>
      <c r="I32" s="39">
        <v>2000</v>
      </c>
      <c r="J32" s="27" t="s">
        <v>767</v>
      </c>
      <c r="K32" s="65" t="s">
        <v>758</v>
      </c>
    </row>
    <row r="33" spans="1:11" ht="24" customHeight="1" x14ac:dyDescent="0.3">
      <c r="A33" s="25">
        <v>29</v>
      </c>
      <c r="B33" s="25" t="s">
        <v>768</v>
      </c>
      <c r="C33" s="37">
        <v>1200000000</v>
      </c>
      <c r="D33" s="37">
        <v>327000000</v>
      </c>
      <c r="E33" s="37">
        <v>1500</v>
      </c>
      <c r="F33" s="37">
        <v>4</v>
      </c>
      <c r="G33" s="37">
        <v>900</v>
      </c>
      <c r="H33" s="37">
        <v>5</v>
      </c>
      <c r="I33" s="37">
        <v>3000</v>
      </c>
      <c r="J33" s="25" t="s">
        <v>722</v>
      </c>
      <c r="K33" s="66" t="s">
        <v>752</v>
      </c>
    </row>
    <row r="34" spans="1:11" ht="24" customHeight="1" x14ac:dyDescent="0.3">
      <c r="A34" s="27">
        <v>30</v>
      </c>
      <c r="B34" s="27" t="s">
        <v>769</v>
      </c>
      <c r="C34" s="39">
        <v>1100000000</v>
      </c>
      <c r="D34" s="39">
        <v>299000000</v>
      </c>
      <c r="E34" s="39">
        <v>800</v>
      </c>
      <c r="F34" s="39">
        <v>3</v>
      </c>
      <c r="G34" s="39">
        <v>500</v>
      </c>
      <c r="H34" s="39">
        <v>3</v>
      </c>
      <c r="I34" s="39">
        <v>2000</v>
      </c>
      <c r="J34" s="27" t="s">
        <v>770</v>
      </c>
      <c r="K34" s="65" t="s">
        <v>754</v>
      </c>
    </row>
    <row r="36" spans="1:11" ht="14.25" customHeight="1" x14ac:dyDescent="0.3">
      <c r="A36" s="67" t="s">
        <v>771</v>
      </c>
      <c r="B36" s="68"/>
      <c r="C36" s="69">
        <f>SUM(C5:C34)</f>
        <v>290900000000</v>
      </c>
      <c r="D36" s="68"/>
      <c r="E36" s="69">
        <f>SUM(E5:E34)</f>
        <v>114793</v>
      </c>
      <c r="F36" s="68"/>
      <c r="G36" s="69">
        <f>SUM(G5:G34)</f>
        <v>51747</v>
      </c>
      <c r="H36" s="68"/>
      <c r="I36" s="69">
        <f>SUM(I5:I34)</f>
        <v>367019</v>
      </c>
      <c r="J36" s="68"/>
      <c r="K36" s="68"/>
    </row>
    <row r="38" spans="1:11" ht="14.25" customHeight="1" x14ac:dyDescent="0.3">
      <c r="A38" s="100" t="s">
        <v>772</v>
      </c>
      <c r="B38" s="85"/>
      <c r="C38" s="85"/>
      <c r="D38" s="85"/>
      <c r="E38" s="85"/>
      <c r="F38" s="85"/>
      <c r="G38" s="85"/>
      <c r="H38" s="85"/>
      <c r="I38" s="85"/>
      <c r="J38" s="85"/>
      <c r="K38" s="85"/>
    </row>
    <row r="39" spans="1:11" ht="14.25" customHeight="1" x14ac:dyDescent="0.3">
      <c r="A39" s="105" t="s">
        <v>773</v>
      </c>
      <c r="B39" s="85"/>
      <c r="C39" s="85"/>
      <c r="D39" s="85"/>
      <c r="E39" s="85"/>
      <c r="F39" s="85"/>
      <c r="G39" s="85"/>
      <c r="H39" s="85"/>
      <c r="I39" s="85"/>
      <c r="J39" s="85"/>
      <c r="K39" s="85"/>
    </row>
    <row r="40" spans="1:11" ht="14.25" customHeight="1" x14ac:dyDescent="0.3">
      <c r="A40" s="105" t="s">
        <v>774</v>
      </c>
      <c r="B40" s="85"/>
      <c r="C40" s="85"/>
      <c r="D40" s="85"/>
      <c r="E40" s="85"/>
      <c r="F40" s="85"/>
      <c r="G40" s="85"/>
      <c r="H40" s="85"/>
      <c r="I40" s="85"/>
      <c r="J40" s="85"/>
      <c r="K40" s="85"/>
    </row>
    <row r="41" spans="1:11" ht="14.25" customHeight="1" x14ac:dyDescent="0.3">
      <c r="A41" s="105" t="s">
        <v>775</v>
      </c>
      <c r="B41" s="85"/>
      <c r="C41" s="85"/>
      <c r="D41" s="85"/>
      <c r="E41" s="85"/>
      <c r="F41" s="85"/>
      <c r="G41" s="85"/>
      <c r="H41" s="85"/>
      <c r="I41" s="85"/>
      <c r="J41" s="85"/>
      <c r="K41" s="85"/>
    </row>
    <row r="42" spans="1:11" ht="14.25" customHeight="1" x14ac:dyDescent="0.3">
      <c r="A42" s="105" t="s">
        <v>776</v>
      </c>
      <c r="B42" s="85"/>
      <c r="C42" s="85"/>
      <c r="D42" s="85"/>
      <c r="E42" s="85"/>
      <c r="F42" s="85"/>
      <c r="G42" s="85"/>
      <c r="H42" s="85"/>
      <c r="I42" s="85"/>
      <c r="J42" s="85"/>
      <c r="K42" s="85"/>
    </row>
    <row r="43" spans="1:11" ht="14.25" customHeight="1" x14ac:dyDescent="0.3">
      <c r="A43" s="105" t="s">
        <v>777</v>
      </c>
      <c r="B43" s="85"/>
      <c r="C43" s="85"/>
      <c r="D43" s="85"/>
      <c r="E43" s="85"/>
      <c r="F43" s="85"/>
      <c r="G43" s="85"/>
      <c r="H43" s="85"/>
      <c r="I43" s="85"/>
      <c r="J43" s="85"/>
      <c r="K43" s="85"/>
    </row>
    <row r="44" spans="1:11" ht="14.25" customHeight="1" x14ac:dyDescent="0.3">
      <c r="A44" s="105" t="s">
        <v>778</v>
      </c>
      <c r="B44" s="85"/>
      <c r="C44" s="85"/>
      <c r="D44" s="85"/>
      <c r="E44" s="85"/>
      <c r="F44" s="85"/>
      <c r="G44" s="85"/>
      <c r="H44" s="85"/>
      <c r="I44" s="85"/>
      <c r="J44" s="85"/>
      <c r="K44" s="85"/>
    </row>
    <row r="45" spans="1:11" ht="14.25" customHeight="1" x14ac:dyDescent="0.3">
      <c r="A45" s="105" t="s">
        <v>779</v>
      </c>
      <c r="B45" s="85"/>
      <c r="C45" s="85"/>
      <c r="D45" s="85"/>
      <c r="E45" s="85"/>
      <c r="F45" s="85"/>
      <c r="G45" s="85"/>
      <c r="H45" s="85"/>
      <c r="I45" s="85"/>
      <c r="J45" s="85"/>
      <c r="K45" s="85"/>
    </row>
    <row r="46" spans="1:11" ht="14.25" customHeight="1" x14ac:dyDescent="0.3">
      <c r="A46" s="105" t="s">
        <v>780</v>
      </c>
      <c r="B46" s="85"/>
      <c r="C46" s="85"/>
      <c r="D46" s="85"/>
      <c r="E46" s="85"/>
      <c r="F46" s="85"/>
      <c r="G46" s="85"/>
      <c r="H46" s="85"/>
      <c r="I46" s="85"/>
      <c r="J46" s="85"/>
      <c r="K46" s="85"/>
    </row>
  </sheetData>
  <autoFilter ref="A4:K34" xr:uid="{00000000-0009-0000-0000-000008000000}"/>
  <mergeCells count="12">
    <mergeCell ref="A1:K1"/>
    <mergeCell ref="A42:K42"/>
    <mergeCell ref="A46:K46"/>
    <mergeCell ref="A44:K44"/>
    <mergeCell ref="A45:K45"/>
    <mergeCell ref="A40:K40"/>
    <mergeCell ref="A3:K3"/>
    <mergeCell ref="A39:K39"/>
    <mergeCell ref="A43:K43"/>
    <mergeCell ref="A38:K38"/>
    <mergeCell ref="A2:K2"/>
    <mergeCell ref="A41:K41"/>
  </mergeCells>
  <pageMargins left="0.4" right="0.4" top="0.5" bottom="0.5" header="0.3" footer="0.3"/>
  <pageSetup paperSize="9" orientation="landscape" horizontalDpi="300" verticalDpi="300"/>
  <headerFooter>
    <oddHeader>&amp;C&amp;"Arial,Bold"&amp;8 EMAAR PROPERTIES — CONFIDENTIAL</oddHeader>
    <oddFooter>&amp;LCompetition-Grade Research | Feb 2026&amp;CPage &amp;P of &amp;N&amp;RPage &amp;P of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897B"/>
  </sheetPr>
  <dimension ref="A1:E20"/>
  <sheetViews>
    <sheetView zoomScaleNormal="100" workbookViewId="0"/>
  </sheetViews>
  <sheetFormatPr defaultColWidth="8.6640625" defaultRowHeight="14.4" x14ac:dyDescent="0.3"/>
  <cols>
    <col min="1" max="1" width="28" customWidth="1"/>
    <col min="2" max="2" width="24" customWidth="1"/>
    <col min="3" max="3" width="14" customWidth="1"/>
    <col min="4" max="4" width="40" customWidth="1"/>
    <col min="5" max="5" width="22" customWidth="1"/>
  </cols>
  <sheetData>
    <row r="1" spans="1:5" ht="33.75" customHeight="1" x14ac:dyDescent="0.4">
      <c r="A1" s="84" t="s">
        <v>781</v>
      </c>
      <c r="B1" s="85"/>
      <c r="C1" s="85"/>
      <c r="D1" s="85"/>
      <c r="E1" s="85"/>
    </row>
    <row r="2" spans="1:5" ht="15" customHeight="1" x14ac:dyDescent="0.3">
      <c r="A2" s="90" t="s">
        <v>782</v>
      </c>
      <c r="B2" s="85"/>
      <c r="C2" s="85"/>
      <c r="D2" s="85"/>
      <c r="E2" s="85"/>
    </row>
    <row r="4" spans="1:5" ht="15.75" customHeight="1" x14ac:dyDescent="0.3">
      <c r="A4" s="88" t="s">
        <v>783</v>
      </c>
      <c r="B4" s="85"/>
      <c r="C4" s="85"/>
      <c r="D4" s="85"/>
      <c r="E4" s="85"/>
    </row>
    <row r="5" spans="1:5" ht="31.5" customHeight="1" x14ac:dyDescent="0.3">
      <c r="A5" s="23" t="s">
        <v>230</v>
      </c>
      <c r="B5" s="23" t="s">
        <v>784</v>
      </c>
      <c r="C5" s="23" t="s">
        <v>785</v>
      </c>
      <c r="D5" s="23" t="s">
        <v>588</v>
      </c>
      <c r="E5" s="23" t="s">
        <v>152</v>
      </c>
    </row>
    <row r="6" spans="1:5" ht="15" customHeight="1" x14ac:dyDescent="0.3">
      <c r="A6" s="24" t="s">
        <v>786</v>
      </c>
      <c r="B6" s="70" t="s">
        <v>787</v>
      </c>
      <c r="C6" s="25" t="s">
        <v>788</v>
      </c>
      <c r="D6" s="25" t="s">
        <v>789</v>
      </c>
      <c r="E6" s="55" t="s">
        <v>790</v>
      </c>
    </row>
    <row r="7" spans="1:5" ht="15" customHeight="1" x14ac:dyDescent="0.3">
      <c r="A7" s="26" t="s">
        <v>791</v>
      </c>
      <c r="B7" s="71" t="s">
        <v>792</v>
      </c>
      <c r="C7" s="27" t="s">
        <v>793</v>
      </c>
      <c r="D7" s="27" t="s">
        <v>794</v>
      </c>
      <c r="E7" s="56" t="s">
        <v>795</v>
      </c>
    </row>
    <row r="8" spans="1:5" ht="26.25" customHeight="1" x14ac:dyDescent="0.3">
      <c r="A8" s="24" t="s">
        <v>796</v>
      </c>
      <c r="B8" s="70" t="s">
        <v>797</v>
      </c>
      <c r="C8" s="25" t="s">
        <v>798</v>
      </c>
      <c r="D8" s="25" t="s">
        <v>799</v>
      </c>
      <c r="E8" s="55" t="s">
        <v>795</v>
      </c>
    </row>
    <row r="9" spans="1:5" ht="15" customHeight="1" x14ac:dyDescent="0.3">
      <c r="A9" s="26" t="s">
        <v>800</v>
      </c>
      <c r="B9" s="71" t="s">
        <v>801</v>
      </c>
      <c r="C9" s="27" t="s">
        <v>798</v>
      </c>
      <c r="D9" s="27" t="s">
        <v>802</v>
      </c>
      <c r="E9" s="56" t="s">
        <v>795</v>
      </c>
    </row>
    <row r="10" spans="1:5" ht="15" customHeight="1" x14ac:dyDescent="0.3">
      <c r="A10" s="24" t="s">
        <v>803</v>
      </c>
      <c r="B10" s="70" t="s">
        <v>804</v>
      </c>
      <c r="C10" s="25" t="s">
        <v>798</v>
      </c>
      <c r="D10" s="25" t="s">
        <v>805</v>
      </c>
      <c r="E10" s="55" t="s">
        <v>795</v>
      </c>
    </row>
    <row r="11" spans="1:5" ht="15" customHeight="1" x14ac:dyDescent="0.3">
      <c r="A11" s="26" t="s">
        <v>806</v>
      </c>
      <c r="B11" s="71" t="s">
        <v>807</v>
      </c>
      <c r="C11" s="27" t="s">
        <v>808</v>
      </c>
      <c r="D11" s="27" t="s">
        <v>809</v>
      </c>
      <c r="E11" s="56" t="s">
        <v>795</v>
      </c>
    </row>
    <row r="12" spans="1:5" ht="26.25" customHeight="1" x14ac:dyDescent="0.3">
      <c r="A12" s="24" t="s">
        <v>810</v>
      </c>
      <c r="B12" s="70" t="s">
        <v>811</v>
      </c>
      <c r="C12" s="25" t="s">
        <v>812</v>
      </c>
      <c r="D12" s="25" t="s">
        <v>813</v>
      </c>
      <c r="E12" s="55" t="s">
        <v>814</v>
      </c>
    </row>
    <row r="13" spans="1:5" ht="15" customHeight="1" x14ac:dyDescent="0.3">
      <c r="A13" s="26" t="s">
        <v>815</v>
      </c>
      <c r="B13" s="71" t="s">
        <v>816</v>
      </c>
      <c r="C13" s="27" t="s">
        <v>817</v>
      </c>
      <c r="D13" s="27" t="s">
        <v>818</v>
      </c>
      <c r="E13" s="56" t="s">
        <v>819</v>
      </c>
    </row>
    <row r="14" spans="1:5" ht="23.25" customHeight="1" x14ac:dyDescent="0.3">
      <c r="A14" s="24" t="s">
        <v>820</v>
      </c>
      <c r="B14" s="70" t="s">
        <v>821</v>
      </c>
      <c r="C14" s="25" t="s">
        <v>822</v>
      </c>
      <c r="D14" s="25" t="s">
        <v>823</v>
      </c>
      <c r="E14" s="55" t="s">
        <v>824</v>
      </c>
    </row>
    <row r="15" spans="1:5" ht="15" customHeight="1" x14ac:dyDescent="0.3">
      <c r="A15" s="26" t="s">
        <v>825</v>
      </c>
      <c r="B15" s="71" t="s">
        <v>826</v>
      </c>
      <c r="C15" s="27" t="s">
        <v>827</v>
      </c>
      <c r="D15" s="27" t="s">
        <v>828</v>
      </c>
      <c r="E15" s="56" t="s">
        <v>795</v>
      </c>
    </row>
    <row r="16" spans="1:5" ht="15" customHeight="1" x14ac:dyDescent="0.3">
      <c r="A16" s="24" t="s">
        <v>829</v>
      </c>
      <c r="B16" s="70" t="s">
        <v>830</v>
      </c>
      <c r="C16" s="25" t="s">
        <v>812</v>
      </c>
      <c r="D16" s="25" t="s">
        <v>831</v>
      </c>
      <c r="E16" s="55" t="s">
        <v>795</v>
      </c>
    </row>
    <row r="17" spans="1:5" ht="15" customHeight="1" x14ac:dyDescent="0.3">
      <c r="A17" s="26" t="s">
        <v>832</v>
      </c>
      <c r="B17" s="71" t="s">
        <v>833</v>
      </c>
      <c r="C17" s="27" t="s">
        <v>827</v>
      </c>
      <c r="D17" s="27" t="s">
        <v>834</v>
      </c>
      <c r="E17" s="56" t="s">
        <v>795</v>
      </c>
    </row>
    <row r="18" spans="1:5" ht="15" customHeight="1" x14ac:dyDescent="0.3">
      <c r="A18" s="24" t="s">
        <v>835</v>
      </c>
      <c r="B18" s="70" t="s">
        <v>836</v>
      </c>
      <c r="C18" s="25" t="s">
        <v>837</v>
      </c>
      <c r="D18" s="25" t="s">
        <v>838</v>
      </c>
      <c r="E18" s="55" t="s">
        <v>839</v>
      </c>
    </row>
    <row r="19" spans="1:5" ht="26.25" customHeight="1" x14ac:dyDescent="0.3">
      <c r="A19" s="26" t="s">
        <v>840</v>
      </c>
      <c r="B19" s="71" t="s">
        <v>841</v>
      </c>
      <c r="C19" s="27" t="s">
        <v>842</v>
      </c>
      <c r="D19" s="27" t="s">
        <v>843</v>
      </c>
      <c r="E19" s="56" t="s">
        <v>844</v>
      </c>
    </row>
    <row r="20" spans="1:5" ht="26.25" customHeight="1" x14ac:dyDescent="0.3">
      <c r="A20" s="24" t="s">
        <v>845</v>
      </c>
      <c r="B20" s="70" t="s">
        <v>846</v>
      </c>
      <c r="C20" s="25" t="s">
        <v>847</v>
      </c>
      <c r="D20" s="25" t="s">
        <v>848</v>
      </c>
      <c r="E20" s="55" t="s">
        <v>849</v>
      </c>
    </row>
  </sheetData>
  <mergeCells count="3">
    <mergeCell ref="A2:E2"/>
    <mergeCell ref="A1:E1"/>
    <mergeCell ref="A4:E4"/>
  </mergeCells>
  <pageMargins left="0.4" right="0.4" top="0.5" bottom="0.5" header="0.3" footer="0.3"/>
  <pageSetup paperSize="9" orientation="landscape" horizontalDpi="300" verticalDpi="300"/>
  <headerFooter>
    <oddHeader>&amp;C&amp;"Arial,Bold"&amp;8 EMAAR PROPERTIES — CONFIDENTIAL</oddHeader>
    <oddFooter>&amp;LCompetition-Grade Research | Feb 2026&amp;CPage &amp;P of &amp;N&amp;RPage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6A1B9A"/>
  </sheetPr>
  <dimension ref="A1:H15"/>
  <sheetViews>
    <sheetView zoomScaleNormal="100" workbookViewId="0">
      <selection sqref="A1:H1"/>
    </sheetView>
  </sheetViews>
  <sheetFormatPr defaultColWidth="8.6640625" defaultRowHeight="14.4" x14ac:dyDescent="0.3"/>
  <cols>
    <col min="1" max="1" width="26" customWidth="1"/>
    <col min="2" max="3" width="22" customWidth="1"/>
    <col min="4" max="4" width="32" customWidth="1"/>
    <col min="5" max="5" width="18" customWidth="1"/>
    <col min="6" max="6" width="14" customWidth="1"/>
    <col min="7" max="7" width="44" customWidth="1"/>
    <col min="8" max="8" width="24" customWidth="1"/>
  </cols>
  <sheetData>
    <row r="1" spans="1:8" ht="33.75" customHeight="1" x14ac:dyDescent="0.4">
      <c r="A1" s="84" t="s">
        <v>850</v>
      </c>
      <c r="B1" s="85"/>
      <c r="C1" s="85"/>
      <c r="D1" s="85"/>
      <c r="E1" s="85"/>
      <c r="F1" s="85"/>
      <c r="G1" s="85"/>
      <c r="H1" s="85"/>
    </row>
    <row r="2" spans="1:8" ht="15" customHeight="1" x14ac:dyDescent="0.3">
      <c r="A2" s="90" t="s">
        <v>851</v>
      </c>
      <c r="B2" s="85"/>
      <c r="C2" s="85"/>
      <c r="D2" s="85"/>
      <c r="E2" s="85"/>
      <c r="F2" s="85"/>
      <c r="G2" s="85"/>
      <c r="H2" s="85"/>
    </row>
    <row r="3" spans="1:8" ht="31.5" customHeight="1" x14ac:dyDescent="0.3">
      <c r="A3" s="23" t="s">
        <v>852</v>
      </c>
      <c r="B3" s="23" t="s">
        <v>104</v>
      </c>
      <c r="C3" s="23" t="s">
        <v>853</v>
      </c>
      <c r="D3" s="23" t="s">
        <v>854</v>
      </c>
      <c r="E3" s="23" t="s">
        <v>855</v>
      </c>
      <c r="F3" s="23" t="s">
        <v>164</v>
      </c>
      <c r="G3" s="23" t="s">
        <v>856</v>
      </c>
      <c r="H3" s="23" t="s">
        <v>152</v>
      </c>
    </row>
    <row r="4" spans="1:8" ht="45" customHeight="1" x14ac:dyDescent="0.3">
      <c r="A4" s="24" t="s">
        <v>857</v>
      </c>
      <c r="B4" s="25" t="s">
        <v>116</v>
      </c>
      <c r="C4" s="25" t="s">
        <v>858</v>
      </c>
      <c r="D4" s="25" t="s">
        <v>859</v>
      </c>
      <c r="E4" s="25" t="s">
        <v>860</v>
      </c>
      <c r="F4" s="25" t="s">
        <v>861</v>
      </c>
      <c r="G4" s="25" t="s">
        <v>862</v>
      </c>
      <c r="H4" s="25" t="s">
        <v>863</v>
      </c>
    </row>
    <row r="5" spans="1:8" ht="45" customHeight="1" x14ac:dyDescent="0.3">
      <c r="A5" s="26" t="s">
        <v>864</v>
      </c>
      <c r="B5" s="27" t="s">
        <v>865</v>
      </c>
      <c r="C5" s="27" t="s">
        <v>866</v>
      </c>
      <c r="D5" s="27" t="s">
        <v>867</v>
      </c>
      <c r="E5" s="27" t="s">
        <v>868</v>
      </c>
      <c r="F5" s="27" t="s">
        <v>166</v>
      </c>
      <c r="G5" s="27" t="s">
        <v>869</v>
      </c>
      <c r="H5" s="27" t="s">
        <v>870</v>
      </c>
    </row>
    <row r="6" spans="1:8" ht="45" customHeight="1" x14ac:dyDescent="0.3">
      <c r="A6" s="24" t="s">
        <v>871</v>
      </c>
      <c r="B6" s="25" t="s">
        <v>872</v>
      </c>
      <c r="C6" s="25" t="s">
        <v>873</v>
      </c>
      <c r="D6" s="25" t="s">
        <v>874</v>
      </c>
      <c r="E6" s="25" t="s">
        <v>875</v>
      </c>
      <c r="F6" s="25" t="s">
        <v>876</v>
      </c>
      <c r="G6" s="25" t="s">
        <v>877</v>
      </c>
      <c r="H6" s="25" t="s">
        <v>878</v>
      </c>
    </row>
    <row r="7" spans="1:8" ht="45" customHeight="1" x14ac:dyDescent="0.3">
      <c r="A7" s="26" t="s">
        <v>879</v>
      </c>
      <c r="B7" s="27" t="s">
        <v>880</v>
      </c>
      <c r="C7" s="27" t="s">
        <v>881</v>
      </c>
      <c r="D7" s="27" t="s">
        <v>882</v>
      </c>
      <c r="E7" s="27" t="s">
        <v>720</v>
      </c>
      <c r="F7" s="27" t="s">
        <v>861</v>
      </c>
      <c r="G7" s="27" t="s">
        <v>883</v>
      </c>
      <c r="H7" s="27" t="s">
        <v>167</v>
      </c>
    </row>
    <row r="8" spans="1:8" ht="45" customHeight="1" x14ac:dyDescent="0.3">
      <c r="A8" s="24" t="s">
        <v>884</v>
      </c>
      <c r="B8" s="25" t="s">
        <v>880</v>
      </c>
      <c r="C8" s="25" t="s">
        <v>885</v>
      </c>
      <c r="D8" s="25" t="s">
        <v>886</v>
      </c>
      <c r="E8" s="25" t="s">
        <v>887</v>
      </c>
      <c r="F8" s="25" t="s">
        <v>861</v>
      </c>
      <c r="G8" s="25" t="s">
        <v>888</v>
      </c>
      <c r="H8" s="25" t="s">
        <v>167</v>
      </c>
    </row>
    <row r="9" spans="1:8" ht="45" customHeight="1" x14ac:dyDescent="0.3">
      <c r="A9" s="26" t="s">
        <v>889</v>
      </c>
      <c r="B9" s="27" t="s">
        <v>116</v>
      </c>
      <c r="C9" s="27" t="s">
        <v>873</v>
      </c>
      <c r="D9" s="27" t="s">
        <v>890</v>
      </c>
      <c r="E9" s="27" t="s">
        <v>891</v>
      </c>
      <c r="F9" s="27" t="s">
        <v>873</v>
      </c>
      <c r="G9" s="27" t="s">
        <v>892</v>
      </c>
      <c r="H9" s="27" t="s">
        <v>893</v>
      </c>
    </row>
    <row r="10" spans="1:8" ht="45" customHeight="1" x14ac:dyDescent="0.3">
      <c r="A10" s="24" t="s">
        <v>894</v>
      </c>
      <c r="B10" s="25" t="s">
        <v>895</v>
      </c>
      <c r="C10" s="25" t="s">
        <v>896</v>
      </c>
      <c r="D10" s="25" t="s">
        <v>897</v>
      </c>
      <c r="E10" s="25" t="s">
        <v>898</v>
      </c>
      <c r="F10" s="25" t="s">
        <v>899</v>
      </c>
      <c r="G10" s="25" t="s">
        <v>900</v>
      </c>
      <c r="H10" s="25" t="s">
        <v>167</v>
      </c>
    </row>
    <row r="11" spans="1:8" ht="45" customHeight="1" x14ac:dyDescent="0.3">
      <c r="A11" s="26" t="s">
        <v>901</v>
      </c>
      <c r="B11" s="27" t="s">
        <v>902</v>
      </c>
      <c r="C11" s="27" t="s">
        <v>903</v>
      </c>
      <c r="D11" s="27" t="s">
        <v>904</v>
      </c>
      <c r="E11" s="27" t="s">
        <v>905</v>
      </c>
      <c r="F11" s="27" t="s">
        <v>906</v>
      </c>
      <c r="G11" s="27" t="s">
        <v>907</v>
      </c>
      <c r="H11" s="27" t="s">
        <v>908</v>
      </c>
    </row>
    <row r="12" spans="1:8" ht="45" customHeight="1" x14ac:dyDescent="0.3">
      <c r="A12" s="24" t="s">
        <v>909</v>
      </c>
      <c r="B12" s="25" t="s">
        <v>880</v>
      </c>
      <c r="C12" s="25" t="s">
        <v>910</v>
      </c>
      <c r="D12" s="25" t="s">
        <v>911</v>
      </c>
      <c r="E12" s="25" t="s">
        <v>868</v>
      </c>
      <c r="F12" s="25" t="s">
        <v>912</v>
      </c>
      <c r="G12" s="25" t="s">
        <v>913</v>
      </c>
      <c r="H12" s="25" t="s">
        <v>167</v>
      </c>
    </row>
    <row r="13" spans="1:8" ht="45" customHeight="1" x14ac:dyDescent="0.3">
      <c r="A13" s="26" t="s">
        <v>914</v>
      </c>
      <c r="B13" s="27" t="s">
        <v>124</v>
      </c>
      <c r="C13" s="27" t="s">
        <v>915</v>
      </c>
      <c r="D13" s="27" t="s">
        <v>916</v>
      </c>
      <c r="E13" s="27" t="s">
        <v>283</v>
      </c>
      <c r="F13" s="27" t="s">
        <v>174</v>
      </c>
      <c r="G13" s="27" t="s">
        <v>917</v>
      </c>
      <c r="H13" s="27" t="s">
        <v>416</v>
      </c>
    </row>
    <row r="14" spans="1:8" ht="45" customHeight="1" x14ac:dyDescent="0.3">
      <c r="A14" s="24" t="s">
        <v>119</v>
      </c>
      <c r="B14" s="25" t="s">
        <v>918</v>
      </c>
      <c r="C14" s="25" t="s">
        <v>919</v>
      </c>
      <c r="D14" s="25" t="s">
        <v>920</v>
      </c>
      <c r="E14" s="25" t="s">
        <v>921</v>
      </c>
      <c r="F14" s="25" t="s">
        <v>922</v>
      </c>
      <c r="G14" s="25" t="s">
        <v>923</v>
      </c>
      <c r="H14" s="25" t="s">
        <v>167</v>
      </c>
    </row>
    <row r="15" spans="1:8" ht="45" customHeight="1" x14ac:dyDescent="0.3">
      <c r="A15" s="26" t="s">
        <v>924</v>
      </c>
      <c r="B15" s="27" t="s">
        <v>925</v>
      </c>
      <c r="C15" s="27" t="s">
        <v>926</v>
      </c>
      <c r="D15" s="27" t="s">
        <v>927</v>
      </c>
      <c r="E15" s="27" t="s">
        <v>928</v>
      </c>
      <c r="F15" s="27" t="s">
        <v>929</v>
      </c>
      <c r="G15" s="27" t="s">
        <v>930</v>
      </c>
      <c r="H15" s="27" t="s">
        <v>931</v>
      </c>
    </row>
  </sheetData>
  <mergeCells count="2">
    <mergeCell ref="A2:H2"/>
    <mergeCell ref="A1:H1"/>
  </mergeCells>
  <pageMargins left="0.4" right="0.4" top="0.5" bottom="0.5" header="0.3" footer="0.3"/>
  <pageSetup paperSize="9" orientation="landscape" horizontalDpi="300" verticalDpi="300"/>
  <headerFooter>
    <oddHeader>&amp;C&amp;"Arial,Bold"&amp;8 EMAAR PROPERTIES — CONFIDENTIAL</oddHeader>
    <oddFooter>&amp;LCompetition-Grade Research | Feb 2026&amp;CPage &amp;P of &amp;N&amp;RPage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D4A843"/>
  </sheetPr>
  <dimension ref="A1:D23"/>
  <sheetViews>
    <sheetView zoomScaleNormal="100" workbookViewId="0">
      <selection sqref="A1:D1"/>
    </sheetView>
  </sheetViews>
  <sheetFormatPr defaultColWidth="8.6640625" defaultRowHeight="14.4" x14ac:dyDescent="0.3"/>
  <cols>
    <col min="1" max="1" width="32" customWidth="1"/>
    <col min="2" max="2" width="53.77734375" customWidth="1"/>
    <col min="3" max="3" width="42" customWidth="1"/>
    <col min="4" max="4" width="74.88671875" customWidth="1"/>
  </cols>
  <sheetData>
    <row r="1" spans="1:4" ht="33.75" customHeight="1" x14ac:dyDescent="0.4">
      <c r="A1" s="84" t="s">
        <v>0</v>
      </c>
      <c r="B1" s="85"/>
      <c r="C1" s="85"/>
      <c r="D1" s="85"/>
    </row>
    <row r="2" spans="1:4" ht="15" customHeight="1" x14ac:dyDescent="0.3">
      <c r="A2" s="90" t="s">
        <v>1</v>
      </c>
      <c r="B2" s="85"/>
      <c r="C2" s="85"/>
      <c r="D2" s="85"/>
    </row>
    <row r="4" spans="1:4" ht="15.75" customHeight="1" x14ac:dyDescent="0.3">
      <c r="A4" s="88" t="s">
        <v>2</v>
      </c>
      <c r="B4" s="85"/>
      <c r="C4" s="85"/>
      <c r="D4" s="85"/>
    </row>
    <row r="5" spans="1:4" ht="69.75" customHeight="1" x14ac:dyDescent="0.3">
      <c r="A5" s="87" t="s">
        <v>3</v>
      </c>
      <c r="B5" s="85"/>
      <c r="C5" s="85"/>
      <c r="D5" s="85"/>
    </row>
    <row r="7" spans="1:4" ht="15.75" customHeight="1" x14ac:dyDescent="0.3">
      <c r="A7" s="89" t="s">
        <v>4</v>
      </c>
      <c r="B7" s="85"/>
      <c r="C7" s="85"/>
      <c r="D7" s="85"/>
    </row>
    <row r="8" spans="1:4" ht="31.5" customHeight="1" x14ac:dyDescent="0.3">
      <c r="A8" s="23" t="s">
        <v>5</v>
      </c>
      <c r="B8" s="23" t="s">
        <v>6</v>
      </c>
      <c r="C8" s="23" t="s">
        <v>7</v>
      </c>
      <c r="D8" s="23" t="s">
        <v>8</v>
      </c>
    </row>
    <row r="9" spans="1:4" ht="64.5" customHeight="1" x14ac:dyDescent="0.3">
      <c r="A9" s="24" t="s">
        <v>9</v>
      </c>
      <c r="B9" s="25" t="s">
        <v>10</v>
      </c>
      <c r="C9" s="53" t="s">
        <v>11</v>
      </c>
      <c r="D9" s="24" t="s">
        <v>12</v>
      </c>
    </row>
    <row r="10" spans="1:4" ht="64.5" customHeight="1" x14ac:dyDescent="0.3">
      <c r="A10" s="26" t="s">
        <v>13</v>
      </c>
      <c r="B10" s="27" t="s">
        <v>14</v>
      </c>
      <c r="C10" s="54" t="s">
        <v>15</v>
      </c>
      <c r="D10" s="26" t="s">
        <v>16</v>
      </c>
    </row>
    <row r="11" spans="1:4" ht="64.5" customHeight="1" x14ac:dyDescent="0.3">
      <c r="A11" s="24" t="s">
        <v>17</v>
      </c>
      <c r="B11" s="25" t="s">
        <v>18</v>
      </c>
      <c r="C11" s="53" t="s">
        <v>19</v>
      </c>
      <c r="D11" s="24" t="s">
        <v>20</v>
      </c>
    </row>
    <row r="12" spans="1:4" ht="64.5" customHeight="1" x14ac:dyDescent="0.3">
      <c r="A12" s="26" t="s">
        <v>21</v>
      </c>
      <c r="B12" s="27" t="s">
        <v>22</v>
      </c>
      <c r="C12" s="54" t="s">
        <v>23</v>
      </c>
      <c r="D12" s="26" t="s">
        <v>24</v>
      </c>
    </row>
    <row r="13" spans="1:4" ht="64.5" customHeight="1" x14ac:dyDescent="0.3">
      <c r="A13" s="24" t="s">
        <v>25</v>
      </c>
      <c r="B13" s="25" t="s">
        <v>26</v>
      </c>
      <c r="C13" s="53" t="s">
        <v>27</v>
      </c>
      <c r="D13" s="24" t="s">
        <v>28</v>
      </c>
    </row>
    <row r="14" spans="1:4" ht="64.5" customHeight="1" x14ac:dyDescent="0.3">
      <c r="A14" s="26" t="s">
        <v>29</v>
      </c>
      <c r="B14" s="27" t="s">
        <v>30</v>
      </c>
      <c r="C14" s="54" t="s">
        <v>31</v>
      </c>
      <c r="D14" s="26" t="s">
        <v>32</v>
      </c>
    </row>
    <row r="17" spans="1:4" ht="15.75" customHeight="1" x14ac:dyDescent="0.3">
      <c r="A17" s="86" t="s">
        <v>33</v>
      </c>
      <c r="B17" s="85"/>
      <c r="C17" s="85"/>
      <c r="D17" s="85"/>
    </row>
    <row r="18" spans="1:4" ht="31.5" customHeight="1" x14ac:dyDescent="0.3">
      <c r="A18" s="23" t="s">
        <v>34</v>
      </c>
      <c r="B18" s="23" t="s">
        <v>35</v>
      </c>
      <c r="C18" s="23" t="s">
        <v>36</v>
      </c>
      <c r="D18" s="23" t="s">
        <v>37</v>
      </c>
    </row>
    <row r="19" spans="1:4" ht="64.5" customHeight="1" x14ac:dyDescent="0.3">
      <c r="A19" s="72" t="s">
        <v>38</v>
      </c>
      <c r="B19" s="25" t="s">
        <v>39</v>
      </c>
      <c r="C19" s="55" t="s">
        <v>40</v>
      </c>
      <c r="D19" s="28" t="s">
        <v>41</v>
      </c>
    </row>
    <row r="20" spans="1:4" ht="64.5" customHeight="1" x14ac:dyDescent="0.3">
      <c r="A20" s="73" t="s">
        <v>42</v>
      </c>
      <c r="B20" s="27" t="s">
        <v>43</v>
      </c>
      <c r="C20" s="56" t="s">
        <v>44</v>
      </c>
      <c r="D20" s="28" t="s">
        <v>41</v>
      </c>
    </row>
    <row r="21" spans="1:4" ht="64.5" customHeight="1" x14ac:dyDescent="0.3">
      <c r="A21" s="72" t="s">
        <v>45</v>
      </c>
      <c r="B21" s="25" t="s">
        <v>46</v>
      </c>
      <c r="C21" s="55" t="s">
        <v>47</v>
      </c>
      <c r="D21" s="28" t="s">
        <v>41</v>
      </c>
    </row>
    <row r="22" spans="1:4" ht="64.5" customHeight="1" x14ac:dyDescent="0.3">
      <c r="A22" s="73" t="s">
        <v>48</v>
      </c>
      <c r="B22" s="27" t="s">
        <v>49</v>
      </c>
      <c r="C22" s="56" t="s">
        <v>50</v>
      </c>
      <c r="D22" s="28" t="s">
        <v>41</v>
      </c>
    </row>
    <row r="23" spans="1:4" ht="64.5" customHeight="1" x14ac:dyDescent="0.3">
      <c r="A23" s="72" t="s">
        <v>51</v>
      </c>
      <c r="B23" s="25" t="s">
        <v>52</v>
      </c>
      <c r="C23" s="55" t="s">
        <v>53</v>
      </c>
      <c r="D23" s="28" t="s">
        <v>41</v>
      </c>
    </row>
  </sheetData>
  <mergeCells count="6">
    <mergeCell ref="A1:D1"/>
    <mergeCell ref="A17:D17"/>
    <mergeCell ref="A5:D5"/>
    <mergeCell ref="A4:D4"/>
    <mergeCell ref="A7:D7"/>
    <mergeCell ref="A2:D2"/>
  </mergeCells>
  <pageMargins left="0.4" right="0.4" top="0.5" bottom="0.5" header="0.3" footer="0.3"/>
  <pageSetup paperSize="9" orientation="landscape" horizontalDpi="300" verticalDpi="300"/>
  <headerFooter>
    <oddHeader>&amp;C&amp;"Arial,Bold"&amp;8 EMAAR PROPERTIES — CONFIDENTIAL</oddHeader>
    <oddFooter>&amp;LCompetition-Grade Research | Feb 2026&amp;CPage &amp;P of &amp;N&amp;RPage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8909C"/>
    <pageSetUpPr fitToPage="1"/>
  </sheetPr>
  <dimension ref="A1:D35"/>
  <sheetViews>
    <sheetView topLeftCell="A32" zoomScaleNormal="100" workbookViewId="0">
      <selection sqref="A1:D1"/>
    </sheetView>
  </sheetViews>
  <sheetFormatPr defaultColWidth="8.6640625" defaultRowHeight="14.4" x14ac:dyDescent="0.3"/>
  <cols>
    <col min="1" max="1" width="13.88671875" customWidth="1"/>
    <col min="2" max="2" width="32" customWidth="1"/>
    <col min="3" max="3" width="18" customWidth="1"/>
    <col min="4" max="4" width="80" customWidth="1"/>
  </cols>
  <sheetData>
    <row r="1" spans="1:4" ht="33.75" customHeight="1" x14ac:dyDescent="0.4">
      <c r="A1" s="84" t="s">
        <v>932</v>
      </c>
      <c r="B1" s="85"/>
      <c r="C1" s="85"/>
      <c r="D1" s="85"/>
    </row>
    <row r="2" spans="1:4" ht="15" customHeight="1" x14ac:dyDescent="0.3">
      <c r="A2" s="90" t="s">
        <v>933</v>
      </c>
      <c r="B2" s="85"/>
      <c r="C2" s="85"/>
      <c r="D2" s="85"/>
    </row>
    <row r="4" spans="1:4" ht="31.5" customHeight="1" x14ac:dyDescent="0.3">
      <c r="A4" s="23" t="s">
        <v>338</v>
      </c>
      <c r="B4" s="23" t="s">
        <v>152</v>
      </c>
      <c r="C4" s="23" t="s">
        <v>855</v>
      </c>
      <c r="D4" s="23" t="s">
        <v>934</v>
      </c>
    </row>
    <row r="5" spans="1:4" ht="27.75" customHeight="1" x14ac:dyDescent="0.3">
      <c r="A5" s="24">
        <v>1</v>
      </c>
      <c r="B5" s="25" t="s">
        <v>935</v>
      </c>
      <c r="C5" s="74" t="s">
        <v>936</v>
      </c>
      <c r="D5" s="25" t="s">
        <v>937</v>
      </c>
    </row>
    <row r="6" spans="1:4" ht="27.75" customHeight="1" x14ac:dyDescent="0.3">
      <c r="A6" s="26">
        <v>2</v>
      </c>
      <c r="B6" s="27" t="s">
        <v>938</v>
      </c>
      <c r="C6" s="75" t="s">
        <v>939</v>
      </c>
      <c r="D6" s="27" t="s">
        <v>940</v>
      </c>
    </row>
    <row r="7" spans="1:4" ht="27.75" customHeight="1" x14ac:dyDescent="0.3">
      <c r="A7" s="24">
        <v>3</v>
      </c>
      <c r="B7" s="25" t="s">
        <v>941</v>
      </c>
      <c r="C7" s="74" t="s">
        <v>942</v>
      </c>
      <c r="D7" s="25" t="s">
        <v>943</v>
      </c>
    </row>
    <row r="8" spans="1:4" ht="27.75" customHeight="1" x14ac:dyDescent="0.3">
      <c r="A8" s="26">
        <v>4</v>
      </c>
      <c r="B8" s="27" t="s">
        <v>944</v>
      </c>
      <c r="C8" s="75" t="s">
        <v>945</v>
      </c>
      <c r="D8" s="27" t="s">
        <v>946</v>
      </c>
    </row>
    <row r="9" spans="1:4" ht="27.75" customHeight="1" x14ac:dyDescent="0.3">
      <c r="A9" s="24">
        <v>5</v>
      </c>
      <c r="B9" s="25" t="s">
        <v>947</v>
      </c>
      <c r="C9" s="74" t="s">
        <v>948</v>
      </c>
      <c r="D9" s="25" t="s">
        <v>949</v>
      </c>
    </row>
    <row r="10" spans="1:4" ht="27.75" customHeight="1" x14ac:dyDescent="0.3">
      <c r="A10" s="26">
        <v>6</v>
      </c>
      <c r="B10" s="27" t="s">
        <v>950</v>
      </c>
      <c r="C10" s="75" t="s">
        <v>951</v>
      </c>
      <c r="D10" s="27" t="s">
        <v>952</v>
      </c>
    </row>
    <row r="11" spans="1:4" ht="27.75" customHeight="1" x14ac:dyDescent="0.3">
      <c r="A11" s="24">
        <v>7</v>
      </c>
      <c r="B11" s="25" t="s">
        <v>953</v>
      </c>
      <c r="C11" s="74" t="s">
        <v>951</v>
      </c>
      <c r="D11" s="25" t="s">
        <v>954</v>
      </c>
    </row>
    <row r="12" spans="1:4" ht="27.75" customHeight="1" x14ac:dyDescent="0.3">
      <c r="A12" s="26">
        <v>8</v>
      </c>
      <c r="B12" s="27" t="s">
        <v>955</v>
      </c>
      <c r="C12" s="75" t="s">
        <v>956</v>
      </c>
      <c r="D12" s="27" t="s">
        <v>957</v>
      </c>
    </row>
    <row r="13" spans="1:4" ht="27.75" customHeight="1" x14ac:dyDescent="0.3">
      <c r="A13" s="24">
        <v>9</v>
      </c>
      <c r="B13" s="25" t="s">
        <v>958</v>
      </c>
      <c r="C13" s="74" t="s">
        <v>959</v>
      </c>
      <c r="D13" s="25" t="s">
        <v>960</v>
      </c>
    </row>
    <row r="14" spans="1:4" ht="27.75" customHeight="1" x14ac:dyDescent="0.3">
      <c r="A14" s="26">
        <v>10</v>
      </c>
      <c r="B14" s="27" t="s">
        <v>416</v>
      </c>
      <c r="C14" s="75" t="s">
        <v>951</v>
      </c>
      <c r="D14" s="27" t="s">
        <v>961</v>
      </c>
    </row>
    <row r="15" spans="1:4" ht="27.75" customHeight="1" x14ac:dyDescent="0.3">
      <c r="A15" s="24">
        <v>11</v>
      </c>
      <c r="B15" s="25" t="s">
        <v>962</v>
      </c>
      <c r="C15" s="74" t="s">
        <v>963</v>
      </c>
      <c r="D15" s="25" t="s">
        <v>964</v>
      </c>
    </row>
    <row r="16" spans="1:4" ht="27.75" customHeight="1" x14ac:dyDescent="0.3">
      <c r="A16" s="26">
        <v>12</v>
      </c>
      <c r="B16" s="27" t="s">
        <v>965</v>
      </c>
      <c r="C16" s="75" t="s">
        <v>963</v>
      </c>
      <c r="D16" s="27" t="s">
        <v>966</v>
      </c>
    </row>
    <row r="17" spans="1:4" ht="27.75" customHeight="1" x14ac:dyDescent="0.3">
      <c r="A17" s="24">
        <v>13</v>
      </c>
      <c r="B17" s="25" t="s">
        <v>967</v>
      </c>
      <c r="C17" s="74" t="s">
        <v>959</v>
      </c>
      <c r="D17" s="25" t="s">
        <v>968</v>
      </c>
    </row>
    <row r="18" spans="1:4" ht="27.75" customHeight="1" x14ac:dyDescent="0.3">
      <c r="A18" s="26">
        <v>14</v>
      </c>
      <c r="B18" s="27" t="s">
        <v>969</v>
      </c>
      <c r="C18" s="75" t="s">
        <v>942</v>
      </c>
      <c r="D18" s="27" t="s">
        <v>970</v>
      </c>
    </row>
    <row r="19" spans="1:4" ht="27.75" customHeight="1" x14ac:dyDescent="0.3">
      <c r="A19" s="24">
        <v>15</v>
      </c>
      <c r="B19" s="25" t="s">
        <v>971</v>
      </c>
      <c r="C19" s="74" t="s">
        <v>972</v>
      </c>
      <c r="D19" s="25" t="s">
        <v>973</v>
      </c>
    </row>
    <row r="20" spans="1:4" ht="27.75" customHeight="1" x14ac:dyDescent="0.3">
      <c r="A20" s="26">
        <v>16</v>
      </c>
      <c r="B20" s="27" t="s">
        <v>844</v>
      </c>
      <c r="C20" s="75" t="s">
        <v>974</v>
      </c>
      <c r="D20" s="27" t="s">
        <v>975</v>
      </c>
    </row>
    <row r="21" spans="1:4" ht="27.75" customHeight="1" x14ac:dyDescent="0.3">
      <c r="A21" s="24">
        <v>17</v>
      </c>
      <c r="B21" s="25" t="s">
        <v>976</v>
      </c>
      <c r="C21" s="74" t="s">
        <v>977</v>
      </c>
      <c r="D21" s="25" t="s">
        <v>978</v>
      </c>
    </row>
    <row r="22" spans="1:4" ht="27.75" customHeight="1" x14ac:dyDescent="0.3">
      <c r="A22" s="26">
        <v>18</v>
      </c>
      <c r="B22" s="27" t="s">
        <v>979</v>
      </c>
      <c r="C22" s="75" t="s">
        <v>82</v>
      </c>
      <c r="D22" s="27" t="s">
        <v>980</v>
      </c>
    </row>
    <row r="23" spans="1:4" ht="27.75" customHeight="1" x14ac:dyDescent="0.3">
      <c r="A23" s="24">
        <v>19</v>
      </c>
      <c r="B23" s="25" t="s">
        <v>981</v>
      </c>
      <c r="C23" s="74" t="s">
        <v>982</v>
      </c>
      <c r="D23" s="25" t="s">
        <v>983</v>
      </c>
    </row>
    <row r="24" spans="1:4" ht="27.75" customHeight="1" x14ac:dyDescent="0.3">
      <c r="A24" s="26">
        <v>20</v>
      </c>
      <c r="B24" s="27" t="s">
        <v>984</v>
      </c>
      <c r="C24" s="75" t="s">
        <v>82</v>
      </c>
      <c r="D24" s="27" t="s">
        <v>985</v>
      </c>
    </row>
    <row r="27" spans="1:4" ht="15.75" customHeight="1" x14ac:dyDescent="0.3">
      <c r="A27" s="88" t="s">
        <v>986</v>
      </c>
      <c r="B27" s="85"/>
      <c r="C27" s="85"/>
      <c r="D27" s="85"/>
    </row>
    <row r="28" spans="1:4" ht="57" customHeight="1" x14ac:dyDescent="0.3">
      <c r="A28" s="24" t="s">
        <v>987</v>
      </c>
      <c r="B28" s="109" t="s">
        <v>988</v>
      </c>
      <c r="C28" s="107"/>
      <c r="D28" s="108"/>
    </row>
    <row r="29" spans="1:4" ht="57" customHeight="1" x14ac:dyDescent="0.3">
      <c r="A29" s="26" t="s">
        <v>989</v>
      </c>
      <c r="B29" s="106" t="s">
        <v>990</v>
      </c>
      <c r="C29" s="107"/>
      <c r="D29" s="108"/>
    </row>
    <row r="30" spans="1:4" ht="57" customHeight="1" x14ac:dyDescent="0.3">
      <c r="A30" s="24" t="s">
        <v>991</v>
      </c>
      <c r="B30" s="109" t="s">
        <v>992</v>
      </c>
      <c r="C30" s="107"/>
      <c r="D30" s="108"/>
    </row>
    <row r="31" spans="1:4" ht="57" customHeight="1" x14ac:dyDescent="0.3">
      <c r="A31" s="26" t="s">
        <v>993</v>
      </c>
      <c r="B31" s="106" t="s">
        <v>994</v>
      </c>
      <c r="C31" s="107"/>
      <c r="D31" s="108"/>
    </row>
    <row r="32" spans="1:4" ht="79.5" customHeight="1" x14ac:dyDescent="0.3">
      <c r="A32" s="24" t="s">
        <v>995</v>
      </c>
      <c r="B32" s="109" t="s">
        <v>996</v>
      </c>
      <c r="C32" s="107"/>
      <c r="D32" s="108"/>
    </row>
    <row r="33" spans="1:4" ht="57" customHeight="1" x14ac:dyDescent="0.3">
      <c r="A33" s="26" t="s">
        <v>997</v>
      </c>
      <c r="B33" s="106" t="s">
        <v>998</v>
      </c>
      <c r="C33" s="107"/>
      <c r="D33" s="108"/>
    </row>
    <row r="34" spans="1:4" ht="68.25" customHeight="1" x14ac:dyDescent="0.3">
      <c r="A34" s="24" t="s">
        <v>999</v>
      </c>
      <c r="B34" s="109" t="s">
        <v>1000</v>
      </c>
      <c r="C34" s="107"/>
      <c r="D34" s="108"/>
    </row>
    <row r="35" spans="1:4" ht="34.5" customHeight="1" x14ac:dyDescent="0.3">
      <c r="A35" s="26" t="s">
        <v>1001</v>
      </c>
      <c r="B35" s="106" t="s">
        <v>1002</v>
      </c>
      <c r="C35" s="107"/>
      <c r="D35" s="108"/>
    </row>
  </sheetData>
  <mergeCells count="11">
    <mergeCell ref="B35:D35"/>
    <mergeCell ref="B30:D30"/>
    <mergeCell ref="A2:D2"/>
    <mergeCell ref="B29:D29"/>
    <mergeCell ref="B34:D34"/>
    <mergeCell ref="B33:D33"/>
    <mergeCell ref="A1:D1"/>
    <mergeCell ref="B28:D28"/>
    <mergeCell ref="A27:D27"/>
    <mergeCell ref="B31:D31"/>
    <mergeCell ref="B32:D32"/>
  </mergeCells>
  <pageMargins left="0.4" right="0.4" top="0.5" bottom="0.5" header="0.3" footer="0.3"/>
  <pageSetup paperSize="9" fitToHeight="0" orientation="landscape" horizontalDpi="300" verticalDpi="300"/>
  <headerFooter>
    <oddHeader>&amp;C&amp;"Arial,Bold"&amp;8 EMAAR PROPERTIES — CONFIDENTIAL</oddHeader>
    <oddFooter>&amp;LCompetition-Grade Research | Feb 2026&amp;CPage &amp;P of &amp;N&amp;RPage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9</vt:i4>
      </vt:variant>
    </vt:vector>
  </HeadingPairs>
  <TitlesOfParts>
    <vt:vector size="22" baseType="lpstr">
      <vt:lpstr>Analytics Dashboard</vt:lpstr>
      <vt:lpstr>Corrections Log</vt:lpstr>
      <vt:lpstr>Executive Dashboard</vt:lpstr>
      <vt:lpstr>Off-Plan Projects 2026-2030</vt:lpstr>
      <vt:lpstr>Location Analysis</vt:lpstr>
      <vt:lpstr>Rental &amp; Tenant Analysis</vt:lpstr>
      <vt:lpstr>Investment Analysis</vt:lpstr>
      <vt:lpstr>Risk Assessment</vt:lpstr>
      <vt:lpstr>Market Positioning</vt:lpstr>
      <vt:lpstr>Dubai Market 2025</vt:lpstr>
      <vt:lpstr>Emaar Mega Projects</vt:lpstr>
      <vt:lpstr>Consultant Pitch</vt:lpstr>
      <vt:lpstr>Sources &amp; Methodology</vt:lpstr>
      <vt:lpstr>CommunityList</vt:lpstr>
      <vt:lpstr>DeveloperRankings</vt:lpstr>
      <vt:lpstr>PricePerSqft</vt:lpstr>
      <vt:lpstr>'Market Positioning'!Print_Titles</vt:lpstr>
      <vt:lpstr>'Off-Plan Projects 2026-2030'!Print_Titles</vt:lpstr>
      <vt:lpstr>'Rental &amp; Tenant Analysis'!Print_Titles</vt:lpstr>
      <vt:lpstr>ProjectList</vt:lpstr>
      <vt:lpstr>RiskMatrix</vt:lpstr>
      <vt:lpstr>YieldData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Mian Waleed</cp:lastModifiedBy>
  <cp:revision>2</cp:revision>
  <cp:lastPrinted>2026-02-24T16:55:57Z</cp:lastPrinted>
  <dcterms:created xsi:type="dcterms:W3CDTF">2026-02-24T15:56:05Z</dcterms:created>
  <dcterms:modified xsi:type="dcterms:W3CDTF">2026-03-13T11:04:51Z</dcterms:modified>
  <dc:language>en-US</dc:language>
</cp:coreProperties>
</file>